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R LAPTOP\Desktop\Articulos finalizados\DYLAN ARTICULO\"/>
    </mc:Choice>
  </mc:AlternateContent>
  <xr:revisionPtr revIDLastSave="0" documentId="13_ncr:1_{C7854072-0DBB-4304-A91E-42207F796968}" xr6:coauthVersionLast="47" xr6:coauthVersionMax="47" xr10:uidLastSave="{00000000-0000-0000-0000-000000000000}"/>
  <bookViews>
    <workbookView xWindow="-110" yWindow="-110" windowWidth="25820" windowHeight="14020" firstSheet="3" activeTab="8" xr2:uid="{C6C2C72B-6267-471A-AFFA-7E504BAF2DA5}"/>
  </bookViews>
  <sheets>
    <sheet name="LSDI  SECTOR ELECTRICO " sheetId="8" r:id="rId1"/>
    <sheet name="LSDI  SECTOR EMISION" sheetId="1" r:id="rId2"/>
    <sheet name="Emisiones de carbono" sheetId="6" r:id="rId3"/>
    <sheet name="FIGURA 1" sheetId="9" r:id="rId4"/>
    <sheet name="FIGURA 2" sheetId="4" r:id="rId5"/>
    <sheet name="FIGURA 3" sheetId="10" r:id="rId6"/>
    <sheet name="FIGURA 4" sheetId="2" r:id="rId7"/>
    <sheet name="FIGURA 5" sheetId="11" r:id="rId8"/>
    <sheet name="FIGURA 6" sheetId="3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2" l="1"/>
  <c r="D14" i="1"/>
  <c r="D17" i="1"/>
  <c r="D16" i="1"/>
  <c r="D15" i="8"/>
  <c r="D14" i="8"/>
  <c r="D15" i="1"/>
  <c r="B15" i="1"/>
  <c r="B14" i="1"/>
  <c r="B15" i="8"/>
  <c r="C22" i="8" s="1"/>
  <c r="B13" i="8"/>
  <c r="D21" i="8"/>
  <c r="B17" i="8"/>
  <c r="C24" i="8" s="1"/>
  <c r="B16" i="8"/>
  <c r="C23" i="8" s="1"/>
  <c r="B14" i="8"/>
  <c r="C21" i="8" s="1"/>
  <c r="B12" i="8"/>
  <c r="B11" i="8"/>
  <c r="B23" i="8" s="1"/>
  <c r="B10" i="8"/>
  <c r="D22" i="8" s="1"/>
  <c r="B9" i="8"/>
  <c r="B8" i="8"/>
  <c r="G6" i="8"/>
  <c r="F6" i="8"/>
  <c r="G5" i="8"/>
  <c r="D17" i="8" s="1"/>
  <c r="F5" i="8"/>
  <c r="G4" i="8"/>
  <c r="D16" i="8" s="1"/>
  <c r="F4" i="8"/>
  <c r="G3" i="8"/>
  <c r="F3" i="8"/>
  <c r="G2" i="8"/>
  <c r="F2" i="8"/>
  <c r="I16" i="6"/>
  <c r="H16" i="6"/>
  <c r="G16" i="6"/>
  <c r="F16" i="6"/>
  <c r="E16" i="6"/>
  <c r="D16" i="6"/>
  <c r="C16" i="6"/>
  <c r="B16" i="6"/>
  <c r="I13" i="6"/>
  <c r="H13" i="6"/>
  <c r="G13" i="6"/>
  <c r="F13" i="6"/>
  <c r="E13" i="6"/>
  <c r="D13" i="6"/>
  <c r="C13" i="6"/>
  <c r="B13" i="6"/>
  <c r="I10" i="6"/>
  <c r="H10" i="6"/>
  <c r="G10" i="6"/>
  <c r="F10" i="6"/>
  <c r="E10" i="6"/>
  <c r="D10" i="6"/>
  <c r="C10" i="6"/>
  <c r="B10" i="6"/>
  <c r="I7" i="6"/>
  <c r="H7" i="6"/>
  <c r="G7" i="6"/>
  <c r="F7" i="6"/>
  <c r="E7" i="6"/>
  <c r="D7" i="6"/>
  <c r="C7" i="6"/>
  <c r="B7" i="6"/>
  <c r="C4" i="6"/>
  <c r="D4" i="6"/>
  <c r="E4" i="6"/>
  <c r="F4" i="6"/>
  <c r="G4" i="6"/>
  <c r="H4" i="6"/>
  <c r="I4" i="6"/>
  <c r="B4" i="6"/>
  <c r="C12" i="6"/>
  <c r="D12" i="6"/>
  <c r="E12" i="6"/>
  <c r="F12" i="6"/>
  <c r="G12" i="6"/>
  <c r="H12" i="6"/>
  <c r="I12" i="6"/>
  <c r="B12" i="6"/>
  <c r="I17" i="2"/>
  <c r="B14" i="2"/>
  <c r="C14" i="2"/>
  <c r="D14" i="2"/>
  <c r="E14" i="2"/>
  <c r="F14" i="2"/>
  <c r="G14" i="2"/>
  <c r="H14" i="2"/>
  <c r="I14" i="2"/>
  <c r="B15" i="2"/>
  <c r="C15" i="2"/>
  <c r="D15" i="2"/>
  <c r="E15" i="2"/>
  <c r="F15" i="2"/>
  <c r="G15" i="2"/>
  <c r="H15" i="2"/>
  <c r="I15" i="2"/>
  <c r="B17" i="2"/>
  <c r="C17" i="2"/>
  <c r="D17" i="2"/>
  <c r="E17" i="2"/>
  <c r="F17" i="2"/>
  <c r="G17" i="2"/>
  <c r="H17" i="2"/>
  <c r="H13" i="2"/>
  <c r="G13" i="2"/>
  <c r="F13" i="2"/>
  <c r="E13" i="2"/>
  <c r="D13" i="2"/>
  <c r="C13" i="2"/>
  <c r="B13" i="2"/>
  <c r="D5" i="2"/>
  <c r="C16" i="2" s="1"/>
  <c r="E5" i="2"/>
  <c r="D16" i="2" s="1"/>
  <c r="F5" i="2"/>
  <c r="E16" i="2" s="1"/>
  <c r="G5" i="2"/>
  <c r="F16" i="2" s="1"/>
  <c r="H5" i="2"/>
  <c r="G16" i="2" s="1"/>
  <c r="I5" i="2"/>
  <c r="H16" i="2" s="1"/>
  <c r="J5" i="2"/>
  <c r="I16" i="2" s="1"/>
  <c r="C5" i="2"/>
  <c r="B16" i="2" s="1"/>
  <c r="N12" i="4"/>
  <c r="M12" i="4"/>
  <c r="L12" i="4"/>
  <c r="N11" i="4"/>
  <c r="M11" i="4"/>
  <c r="L11" i="4"/>
  <c r="N10" i="4"/>
  <c r="M10" i="4"/>
  <c r="L10" i="4"/>
  <c r="N9" i="4"/>
  <c r="M9" i="4"/>
  <c r="L9" i="4"/>
  <c r="N8" i="4"/>
  <c r="M8" i="4"/>
  <c r="L8" i="4"/>
  <c r="N7" i="4"/>
  <c r="M7" i="4"/>
  <c r="L7" i="4"/>
  <c r="N6" i="4"/>
  <c r="M6" i="4"/>
  <c r="L6" i="4"/>
  <c r="D23" i="1"/>
  <c r="C24" i="1"/>
  <c r="C23" i="1"/>
  <c r="C21" i="1"/>
  <c r="C22" i="1"/>
  <c r="B21" i="1"/>
  <c r="D22" i="1"/>
  <c r="B17" i="1"/>
  <c r="B16" i="1"/>
  <c r="B9" i="1"/>
  <c r="B8" i="1"/>
  <c r="B13" i="1"/>
  <c r="B10" i="1"/>
  <c r="B11" i="1"/>
  <c r="B12" i="1"/>
  <c r="B24" i="1" s="1"/>
  <c r="B22" i="1"/>
  <c r="B23" i="1"/>
  <c r="D21" i="1"/>
  <c r="C25" i="8" l="1"/>
  <c r="D24" i="8"/>
  <c r="D23" i="8"/>
  <c r="E23" i="8" s="1"/>
  <c r="B22" i="8"/>
  <c r="E22" i="8" s="1"/>
  <c r="B24" i="8"/>
  <c r="E24" i="8" s="1"/>
  <c r="B21" i="8"/>
  <c r="D24" i="1"/>
  <c r="D25" i="1" s="1"/>
  <c r="E23" i="1"/>
  <c r="B25" i="1"/>
  <c r="E21" i="1"/>
  <c r="E21" i="8" l="1"/>
  <c r="E25" i="8" s="1"/>
  <c r="B25" i="8"/>
  <c r="D25" i="8"/>
  <c r="E24" i="1"/>
  <c r="C25" i="1"/>
  <c r="E22" i="1"/>
  <c r="E25" i="1" s="1"/>
</calcChain>
</file>

<file path=xl/sharedStrings.xml><?xml version="1.0" encoding="utf-8"?>
<sst xmlns="http://schemas.openxmlformats.org/spreadsheetml/2006/main" count="159" uniqueCount="87">
  <si>
    <t>Sector</t>
  </si>
  <si>
    <t>Energía (E) 2013</t>
  </si>
  <si>
    <t>Energía (E) 2023</t>
  </si>
  <si>
    <t>PIB (Q) 2013</t>
  </si>
  <si>
    <t>PIB (Q) 2023</t>
  </si>
  <si>
    <t>Intensidad (I) 2013</t>
  </si>
  <si>
    <t>Intensidad (I) 2023</t>
  </si>
  <si>
    <t>Transporte</t>
  </si>
  <si>
    <t>Industria</t>
  </si>
  <si>
    <t>Residencial</t>
  </si>
  <si>
    <t>Otros (Calc.)*</t>
  </si>
  <si>
    <t>TOTAL</t>
  </si>
  <si>
    <t>Var. total</t>
  </si>
  <si>
    <t>w. act</t>
  </si>
  <si>
    <t>w. transp</t>
  </si>
  <si>
    <t>w. resid</t>
  </si>
  <si>
    <t>w. otros</t>
  </si>
  <si>
    <t>Factor Común de Actividad Global</t>
  </si>
  <si>
    <t>Factor Común  estructura transporte</t>
  </si>
  <si>
    <t>Factor Común  estructura industria</t>
  </si>
  <si>
    <t>Factor Común  estructura residencial</t>
  </si>
  <si>
    <t>Factor Común  estructura otros</t>
  </si>
  <si>
    <t>Factor Común  intensidad transporte</t>
  </si>
  <si>
    <t>A. Efecto Actividad (Q)</t>
  </si>
  <si>
    <t>B. Efecto Estructura (S)</t>
  </si>
  <si>
    <t>C. Efecto Intensidad (I)</t>
  </si>
  <si>
    <t>TOTAL (ΔE)</t>
  </si>
  <si>
    <t>Otros</t>
  </si>
  <si>
    <t>SUMA TOTAL</t>
  </si>
  <si>
    <t>Bloque</t>
  </si>
  <si>
    <t>Intensidad</t>
  </si>
  <si>
    <t>Tecnologia</t>
  </si>
  <si>
    <t>Demanda</t>
  </si>
  <si>
    <t>Primario</t>
  </si>
  <si>
    <t>Otras</t>
  </si>
  <si>
    <t>Cambio Total</t>
  </si>
  <si>
    <t>Intensidad energética transporte</t>
  </si>
  <si>
    <t>Intensidad energética industrial</t>
  </si>
  <si>
    <t>Intensidad energética residencial</t>
  </si>
  <si>
    <t>2013-2015</t>
  </si>
  <si>
    <t>2015-2017</t>
  </si>
  <si>
    <t>2017-2019</t>
  </si>
  <si>
    <t>2019-2020</t>
  </si>
  <si>
    <t>2020-2021</t>
  </si>
  <si>
    <t>2021-2022</t>
  </si>
  <si>
    <t>2022-2023</t>
  </si>
  <si>
    <t>Unidad</t>
  </si>
  <si>
    <t>Consumo energético total[1]</t>
  </si>
  <si>
    <t>kBEP</t>
  </si>
  <si>
    <t>PIB total</t>
  </si>
  <si>
    <t>Consumo energético transporte</t>
  </si>
  <si>
    <t>PIB transporte</t>
  </si>
  <si>
    <t>Consumo energético industria</t>
  </si>
  <si>
    <t>PIB industria (manufactura)[2]</t>
  </si>
  <si>
    <t>Consumo energético residencial[3]</t>
  </si>
  <si>
    <t>PIB residencial</t>
  </si>
  <si>
    <t xml:space="preserve">Consumo energetico otros </t>
  </si>
  <si>
    <t>Conversión energética</t>
  </si>
  <si>
    <t>1BEP</t>
  </si>
  <si>
    <t xml:space="preserve"> 1 kBEP</t>
  </si>
  <si>
    <t>Factor de emisión estándar IPCC</t>
  </si>
  <si>
    <t>Emisiones CO2 Transporte</t>
  </si>
  <si>
    <t>Emisiones CO2 Industria</t>
  </si>
  <si>
    <t>Emisiones CO2 Residencial</t>
  </si>
  <si>
    <t>Emisiones CO2 Otros</t>
  </si>
  <si>
    <t>Emisiones CO2 Total</t>
  </si>
  <si>
    <t>GJ</t>
  </si>
  <si>
    <t>TJ</t>
  </si>
  <si>
    <t>t CO₂/TJ</t>
  </si>
  <si>
    <t>PIB Otros</t>
  </si>
  <si>
    <t>Intensidad carbono transporte</t>
  </si>
  <si>
    <t>Intensidad carbono industria</t>
  </si>
  <si>
    <t>Intensidad carbono residencial</t>
  </si>
  <si>
    <t>Intensidad carbono Otros</t>
  </si>
  <si>
    <t>Intensidad carbono total</t>
  </si>
  <si>
    <t>Participación</t>
  </si>
  <si>
    <t>Comercial, serv. púb.</t>
  </si>
  <si>
    <t>Agro, pesca, minería</t>
  </si>
  <si>
    <t>Otros sectores</t>
  </si>
  <si>
    <t>Consumo propio</t>
  </si>
  <si>
    <t>Periodo</t>
  </si>
  <si>
    <t>Industrial</t>
  </si>
  <si>
    <t>Comp</t>
  </si>
  <si>
    <t>Valor</t>
  </si>
  <si>
    <t>Efecto Intensidad</t>
  </si>
  <si>
    <t>Efecto Tecnología</t>
  </si>
  <si>
    <t>Efecto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</si>
</sst>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10" fontId="0" fillId="0" borderId="0" xfId="1" applyNumberFormat="1" applyFont="1"/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F56-4D90-AD8B-7D5C3A360DE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F56-4D90-AD8B-7D5C3A360DE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F56-4D90-AD8B-7D5C3A360DE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F56-4D90-AD8B-7D5C3A360DE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F56-4D90-AD8B-7D5C3A360DE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2F56-4D90-AD8B-7D5C3A360DE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2F56-4D90-AD8B-7D5C3A360DEA}"/>
              </c:ext>
            </c:extLst>
          </c:dPt>
          <c:cat>
            <c:strRef>
              <c:f>[1]Datos!$A$2:$A$8</c:f>
              <c:strCache>
                <c:ptCount val="7"/>
                <c:pt idx="0">
                  <c:v>Transporte</c:v>
                </c:pt>
                <c:pt idx="1">
                  <c:v>Industria</c:v>
                </c:pt>
                <c:pt idx="2">
                  <c:v>Residencial</c:v>
                </c:pt>
                <c:pt idx="3">
                  <c:v>Comercial, serv. púb.</c:v>
                </c:pt>
                <c:pt idx="4">
                  <c:v>Agro, pesca, minería</c:v>
                </c:pt>
                <c:pt idx="5">
                  <c:v>Otros sectores</c:v>
                </c:pt>
                <c:pt idx="6">
                  <c:v>Consumo propio</c:v>
                </c:pt>
              </c:strCache>
            </c:strRef>
          </c:cat>
          <c:val>
            <c:numRef>
              <c:f>[1]Datos!$B$2:$B$8</c:f>
              <c:numCache>
                <c:formatCode>General</c:formatCode>
                <c:ptCount val="7"/>
                <c:pt idx="0">
                  <c:v>52</c:v>
                </c:pt>
                <c:pt idx="1">
                  <c:v>17</c:v>
                </c:pt>
                <c:pt idx="2">
                  <c:v>13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D90-AD8B-7D5C3A360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legend>
      <c:legendPos val="r"/>
      <c:layout>
        <c:manualLayout>
          <c:xMode val="edge"/>
          <c:yMode val="edge"/>
          <c:x val="0.80161814075566118"/>
          <c:y val="0.64403833921873987"/>
          <c:w val="0.19838185924433865"/>
          <c:h val="0.3525916259074857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[2]Hoja5!$A$2</c:f>
              <c:strCache>
                <c:ptCount val="1"/>
                <c:pt idx="0">
                  <c:v>Intensidad energética transporte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[2]Hoja5!$B$1:$I$1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[2]Hoja5!$B$2:$I$2</c:f>
              <c:numCache>
                <c:formatCode>General</c:formatCode>
                <c:ptCount val="8"/>
                <c:pt idx="0">
                  <c:v>7.26</c:v>
                </c:pt>
                <c:pt idx="1">
                  <c:v>7.6</c:v>
                </c:pt>
                <c:pt idx="2">
                  <c:v>8.5500000000000007</c:v>
                </c:pt>
                <c:pt idx="3">
                  <c:v>8.1300000000000008</c:v>
                </c:pt>
                <c:pt idx="4">
                  <c:v>8.19</c:v>
                </c:pt>
                <c:pt idx="5">
                  <c:v>8.26</c:v>
                </c:pt>
                <c:pt idx="6">
                  <c:v>8.4</c:v>
                </c:pt>
                <c:pt idx="7">
                  <c:v>8.7799999999999994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B-498C-BE01-1CA19F81414C}"/>
            </c:ext>
          </c:extLst>
        </c:ser>
        <c:ser>
          <c:idx val="1"/>
          <c:order val="1"/>
          <c:tx>
            <c:strRef>
              <c:f>[2]Hoja5!$A$3</c:f>
              <c:strCache>
                <c:ptCount val="1"/>
                <c:pt idx="0">
                  <c:v>Intensidad energética 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[2]Hoja5!$B$1:$I$1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[2]Hoja5!$B$3:$I$3</c:f>
              <c:numCache>
                <c:formatCode>General</c:formatCode>
                <c:ptCount val="8"/>
                <c:pt idx="0">
                  <c:v>1.38</c:v>
                </c:pt>
                <c:pt idx="1">
                  <c:v>1.36</c:v>
                </c:pt>
                <c:pt idx="2">
                  <c:v>1.27</c:v>
                </c:pt>
                <c:pt idx="3">
                  <c:v>1.29</c:v>
                </c:pt>
                <c:pt idx="4">
                  <c:v>1.35</c:v>
                </c:pt>
                <c:pt idx="5">
                  <c:v>1.28</c:v>
                </c:pt>
                <c:pt idx="6">
                  <c:v>1.25</c:v>
                </c:pt>
                <c:pt idx="7">
                  <c:v>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B-498C-BE01-1CA19F81414C}"/>
            </c:ext>
          </c:extLst>
        </c:ser>
        <c:ser>
          <c:idx val="2"/>
          <c:order val="2"/>
          <c:tx>
            <c:strRef>
              <c:f>[2]Hoja5!$A$4</c:f>
              <c:strCache>
                <c:ptCount val="1"/>
                <c:pt idx="0">
                  <c:v>Intensidad energética residencial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[2]Hoja5!$B$1:$I$1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[2]Hoja5!$B$4:$I$4</c:f>
              <c:numCache>
                <c:formatCode>General</c:formatCode>
                <c:ptCount val="8"/>
                <c:pt idx="0">
                  <c:v>0.19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0.21</c:v>
                </c:pt>
                <c:pt idx="5">
                  <c:v>0.19</c:v>
                </c:pt>
                <c:pt idx="6">
                  <c:v>0.18</c:v>
                </c:pt>
                <c:pt idx="7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B-498C-BE01-1CA19F814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20592"/>
        <c:axId val="160398512"/>
      </c:barChart>
      <c:catAx>
        <c:axId val="1604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0398512"/>
        <c:crosses val="autoZero"/>
        <c:auto val="1"/>
        <c:lblAlgn val="ctr"/>
        <c:lblOffset val="100"/>
        <c:noMultiLvlLbl val="0"/>
      </c:catAx>
      <c:valAx>
        <c:axId val="16039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042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[2]Hoja5!$L$5</c:f>
              <c:strCache>
                <c:ptCount val="1"/>
                <c:pt idx="0">
                  <c:v>Intensidad energética transporte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[2]Hoja5!$K$6:$K$12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[2]Hoja5!$L$6:$L$12</c:f>
              <c:numCache>
                <c:formatCode>General</c:formatCode>
                <c:ptCount val="7"/>
                <c:pt idx="0">
                  <c:v>4.6831955922864994E-2</c:v>
                </c:pt>
                <c:pt idx="1">
                  <c:v>0.12500000000000014</c:v>
                </c:pt>
                <c:pt idx="2">
                  <c:v>-4.9122807017543846E-2</c:v>
                </c:pt>
                <c:pt idx="3">
                  <c:v>7.3800738007378493E-3</c:v>
                </c:pt>
                <c:pt idx="4">
                  <c:v>8.5470085470085826E-3</c:v>
                </c:pt>
                <c:pt idx="5">
                  <c:v>1.6949152542372951E-2</c:v>
                </c:pt>
                <c:pt idx="6">
                  <c:v>4.5238095238095119E-2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2-4472-9570-F77A0B0839CE}"/>
            </c:ext>
          </c:extLst>
        </c:ser>
        <c:ser>
          <c:idx val="1"/>
          <c:order val="1"/>
          <c:tx>
            <c:strRef>
              <c:f>[2]Hoja5!$M$5</c:f>
              <c:strCache>
                <c:ptCount val="1"/>
                <c:pt idx="0">
                  <c:v>Intensidad energética industrial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[2]Hoja5!$K$6:$K$12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[2]Hoja5!$M$6:$M$12</c:f>
              <c:numCache>
                <c:formatCode>General</c:formatCode>
                <c:ptCount val="7"/>
                <c:pt idx="0">
                  <c:v>-1.4492753623188259E-2</c:v>
                </c:pt>
                <c:pt idx="1">
                  <c:v>-6.617647058823535E-2</c:v>
                </c:pt>
                <c:pt idx="2">
                  <c:v>1.5748031496063006E-2</c:v>
                </c:pt>
                <c:pt idx="3">
                  <c:v>4.6511627906976785E-2</c:v>
                </c:pt>
                <c:pt idx="4">
                  <c:v>-5.1851851851851892E-2</c:v>
                </c:pt>
                <c:pt idx="5">
                  <c:v>-2.3437500000000021E-2</c:v>
                </c:pt>
                <c:pt idx="6">
                  <c:v>-4.8000000000000043E-2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2-4472-9570-F77A0B0839CE}"/>
            </c:ext>
          </c:extLst>
        </c:ser>
        <c:ser>
          <c:idx val="2"/>
          <c:order val="2"/>
          <c:tx>
            <c:strRef>
              <c:f>[2]Hoja5!$N$5</c:f>
              <c:strCache>
                <c:ptCount val="1"/>
                <c:pt idx="0">
                  <c:v>Intensidad energética residencial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[2]Hoja5!$K$6:$K$12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[2]Hoja5!$N$6:$N$12</c:f>
              <c:numCache>
                <c:formatCode>General</c:formatCode>
                <c:ptCount val="7"/>
                <c:pt idx="0">
                  <c:v>-5.2631578947368467E-2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-9.5238095238095191E-2</c:v>
                </c:pt>
                <c:pt idx="5">
                  <c:v>-5.2631578947368467E-2</c:v>
                </c:pt>
                <c:pt idx="6">
                  <c:v>5.5555555555555608E-2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2-4472-9570-F77A0B08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99472"/>
        <c:axId val="160421552"/>
      </c:radarChart>
      <c:catAx>
        <c:axId val="1603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0421552"/>
        <c:crosses val="autoZero"/>
        <c:auto val="1"/>
        <c:lblAlgn val="ctr"/>
        <c:lblOffset val="100"/>
        <c:noMultiLvlLbl val="0"/>
      </c:catAx>
      <c:valAx>
        <c:axId val="1604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039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baseline="0">
                <a:solidFill>
                  <a:sysClr val="windowText" lastClr="000000"/>
                </a:solidFill>
              </a:rPr>
              <a:t>Intensidad energética por período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3'!$B$1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'FIGURA 3'!$A$2:$A$8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'FIGURA 3'!$B$2:$B$8</c:f>
              <c:numCache>
                <c:formatCode>General</c:formatCode>
                <c:ptCount val="7"/>
                <c:pt idx="0">
                  <c:v>4.5</c:v>
                </c:pt>
                <c:pt idx="1">
                  <c:v>12.3</c:v>
                </c:pt>
                <c:pt idx="2">
                  <c:v>-5</c:v>
                </c:pt>
                <c:pt idx="3">
                  <c:v>0.6</c:v>
                </c:pt>
                <c:pt idx="4">
                  <c:v>0.8</c:v>
                </c:pt>
                <c:pt idx="5">
                  <c:v>1.6</c:v>
                </c:pt>
                <c:pt idx="6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4-46EA-ACED-501DC5158FD7}"/>
            </c:ext>
          </c:extLst>
        </c:ser>
        <c:ser>
          <c:idx val="1"/>
          <c:order val="1"/>
          <c:tx>
            <c:strRef>
              <c:f>'FIGURA 3'!$C$1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'FIGURA 3'!$A$2:$A$8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'FIGURA 3'!$C$2:$C$8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1.4</c:v>
                </c:pt>
                <c:pt idx="3">
                  <c:v>4.5</c:v>
                </c:pt>
                <c:pt idx="4">
                  <c:v>-3</c:v>
                </c:pt>
                <c:pt idx="5">
                  <c:v>-2.5</c:v>
                </c:pt>
                <c:pt idx="6">
                  <c:v>-3.8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4-46EA-ACED-501DC5158FD7}"/>
            </c:ext>
          </c:extLst>
        </c:ser>
        <c:ser>
          <c:idx val="2"/>
          <c:order val="2"/>
          <c:tx>
            <c:strRef>
              <c:f>'FIGURA 3'!$D$1</c:f>
              <c:strCache>
                <c:ptCount val="1"/>
                <c:pt idx="0">
                  <c:v>Residencial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'FIGURA 3'!$A$2:$A$8</c:f>
              <c:strCache>
                <c:ptCount val="7"/>
                <c:pt idx="0">
                  <c:v>2013-2015</c:v>
                </c:pt>
                <c:pt idx="1">
                  <c:v>2015-2017</c:v>
                </c:pt>
                <c:pt idx="2">
                  <c:v>2017-2019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</c:strCache>
            </c:strRef>
          </c:cat>
          <c:val>
            <c:numRef>
              <c:f>'FIGURA 3'!$D$2:$D$8</c:f>
              <c:numCache>
                <c:formatCode>General</c:formatCode>
                <c:ptCount val="7"/>
                <c:pt idx="0">
                  <c:v>-5.5</c:v>
                </c:pt>
                <c:pt idx="1">
                  <c:v>0</c:v>
                </c:pt>
                <c:pt idx="2">
                  <c:v>0</c:v>
                </c:pt>
                <c:pt idx="3">
                  <c:v>16.5</c:v>
                </c:pt>
                <c:pt idx="4">
                  <c:v>-9.5</c:v>
                </c:pt>
                <c:pt idx="5">
                  <c:v>-5.5</c:v>
                </c:pt>
                <c:pt idx="6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4-46EA-ACED-501DC515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413327"/>
        <c:axId val="623415727"/>
      </c:barChart>
      <c:catAx>
        <c:axId val="62341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3415727"/>
        <c:crosses val="autoZero"/>
        <c:auto val="1"/>
        <c:lblAlgn val="ctr"/>
        <c:lblOffset val="100"/>
        <c:noMultiLvlLbl val="0"/>
      </c:catAx>
      <c:valAx>
        <c:axId val="6234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34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'FIGURA 4'!$A$13</c:f>
              <c:strCache>
                <c:ptCount val="1"/>
                <c:pt idx="0">
                  <c:v>Emisiones CO2 Transporte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'FIGURA 4'!$B$12:$I$12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'FIGURA 4'!$B$13:$I$13</c:f>
              <c:numCache>
                <c:formatCode>General</c:formatCode>
                <c:ptCount val="8"/>
                <c:pt idx="0">
                  <c:v>15232905.920000002</c:v>
                </c:pt>
                <c:pt idx="1">
                  <c:v>16882038.84</c:v>
                </c:pt>
                <c:pt idx="2">
                  <c:v>19053707.960000001</c:v>
                </c:pt>
                <c:pt idx="3">
                  <c:v>19581881.48</c:v>
                </c:pt>
                <c:pt idx="4">
                  <c:v>16005652.400000002</c:v>
                </c:pt>
                <c:pt idx="5">
                  <c:v>19917952.48</c:v>
                </c:pt>
                <c:pt idx="6">
                  <c:v>20988609.640000001</c:v>
                </c:pt>
                <c:pt idx="7">
                  <c:v>22986822.760000002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C-41A8-8556-7788859D8152}"/>
            </c:ext>
          </c:extLst>
        </c:ser>
        <c:ser>
          <c:idx val="1"/>
          <c:order val="1"/>
          <c:tx>
            <c:strRef>
              <c:f>'FIGURA 4'!$A$14</c:f>
              <c:strCache>
                <c:ptCount val="1"/>
                <c:pt idx="0">
                  <c:v>Emisiones CO2 Industria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'FIGURA 4'!$B$12:$I$12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'FIGURA 4'!$B$14:$I$14</c:f>
              <c:numCache>
                <c:formatCode>General</c:formatCode>
                <c:ptCount val="8"/>
                <c:pt idx="0">
                  <c:v>7194521.2400000012</c:v>
                </c:pt>
                <c:pt idx="1">
                  <c:v>7400933.8800000008</c:v>
                </c:pt>
                <c:pt idx="2">
                  <c:v>6985506.7600000007</c:v>
                </c:pt>
                <c:pt idx="3">
                  <c:v>7193220.3200000003</c:v>
                </c:pt>
                <c:pt idx="4">
                  <c:v>6822458.120000001</c:v>
                </c:pt>
                <c:pt idx="5">
                  <c:v>7532326.8000000007</c:v>
                </c:pt>
                <c:pt idx="6">
                  <c:v>7882707.9200000009</c:v>
                </c:pt>
                <c:pt idx="7">
                  <c:v>7344127.040000001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C-41A8-8556-7788859D8152}"/>
            </c:ext>
          </c:extLst>
        </c:ser>
        <c:ser>
          <c:idx val="2"/>
          <c:order val="2"/>
          <c:tx>
            <c:strRef>
              <c:f>'FIGURA 4'!$A$15</c:f>
              <c:strCache>
                <c:ptCount val="1"/>
                <c:pt idx="0">
                  <c:v>Emisiones CO2 Residencial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'FIGURA 4'!$B$12:$I$12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'FIGURA 4'!$B$15:$I$15</c:f>
              <c:numCache>
                <c:formatCode>General</c:formatCode>
                <c:ptCount val="8"/>
                <c:pt idx="0">
                  <c:v>4961708.8800000008</c:v>
                </c:pt>
                <c:pt idx="1">
                  <c:v>5257017.7200000007</c:v>
                </c:pt>
                <c:pt idx="2">
                  <c:v>5279133.3600000003</c:v>
                </c:pt>
                <c:pt idx="3">
                  <c:v>5501157.040000001</c:v>
                </c:pt>
                <c:pt idx="4">
                  <c:v>5638620.9200000009</c:v>
                </c:pt>
                <c:pt idx="5">
                  <c:v>5638620.9200000009</c:v>
                </c:pt>
                <c:pt idx="6">
                  <c:v>5675046.6800000006</c:v>
                </c:pt>
                <c:pt idx="7">
                  <c:v>5993338.4400000004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C-41A8-8556-7788859D8152}"/>
            </c:ext>
          </c:extLst>
        </c:ser>
        <c:ser>
          <c:idx val="3"/>
          <c:order val="3"/>
          <c:tx>
            <c:strRef>
              <c:f>'FIGURA 4'!$A$16</c:f>
              <c:strCache>
                <c:ptCount val="1"/>
                <c:pt idx="0">
                  <c:v>Emisiones CO2 Otros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'FIGURA 4'!$B$12:$I$12</c:f>
              <c:numCache>
                <c:formatCode>General</c:formatCode>
                <c:ptCount val="8"/>
                <c:pt idx="0">
                  <c:v>2013</c:v>
                </c:pt>
                <c:pt idx="1">
                  <c:v>2015</c:v>
                </c:pt>
                <c:pt idx="2">
                  <c:v>2017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'FIGURA 4'!$B$16:$I$16</c:f>
              <c:numCache>
                <c:formatCode>General</c:formatCode>
                <c:ptCount val="8"/>
                <c:pt idx="0">
                  <c:v>10014482.16</c:v>
                </c:pt>
                <c:pt idx="1">
                  <c:v>9398713.3600000013</c:v>
                </c:pt>
                <c:pt idx="2">
                  <c:v>8778174.5200000014</c:v>
                </c:pt>
                <c:pt idx="3">
                  <c:v>9573470.2800000012</c:v>
                </c:pt>
                <c:pt idx="4">
                  <c:v>8136820.9600000009</c:v>
                </c:pt>
                <c:pt idx="5">
                  <c:v>7929974.6800000006</c:v>
                </c:pt>
                <c:pt idx="6">
                  <c:v>8921709.3600000013</c:v>
                </c:pt>
                <c:pt idx="7">
                  <c:v>7924337.3600000003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2C-41A8-8556-7788859D8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5163760"/>
        <c:axId val="1975162320"/>
      </c:barChart>
      <c:catAx>
        <c:axId val="19751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75162320"/>
        <c:crosses val="autoZero"/>
        <c:auto val="1"/>
        <c:lblAlgn val="ctr"/>
        <c:lblOffset val="100"/>
        <c:noMultiLvlLbl val="0"/>
      </c:catAx>
      <c:valAx>
        <c:axId val="197516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7516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[3]Graf1!$B$1</c:f>
              <c:strCache>
                <c:ptCount val="1"/>
                <c:pt idx="0">
                  <c:v>Valor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D8-4046-AE6D-A420C0D33496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D8-4046-AE6D-A420C0D33496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D8-4046-AE6D-A420C0D334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[3]Graf1!$A$2:$A$4</c:f>
              <c:strCache>
                <c:ptCount val="3"/>
                <c:pt idx="0">
                  <c:v>Efecto Intensidad</c:v>
                </c:pt>
                <c:pt idx="1">
                  <c:v>Efecto Tecnología</c:v>
                </c:pt>
                <c:pt idx="2">
                  <c:v>Efecto Demanda</c:v>
                </c:pt>
              </c:strCache>
            </c:strRef>
          </c:cat>
          <c:val>
            <c:numRef>
              <c:f>[3]Graf1!$B$2:$B$4</c:f>
              <c:numCache>
                <c:formatCode>General</c:formatCode>
                <c:ptCount val="3"/>
                <c:pt idx="0">
                  <c:v>-0.9</c:v>
                </c:pt>
                <c:pt idx="1">
                  <c:v>0.2</c:v>
                </c:pt>
                <c:pt idx="2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A-4D0A-993E-B65E5E470C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'FIGURA 6'!$B$1</c:f>
              <c:strCache>
                <c:ptCount val="1"/>
                <c:pt idx="0">
                  <c:v>Intensidad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'FIGURA 6'!$A$2:$A$6</c:f>
              <c:strCache>
                <c:ptCount val="5"/>
                <c:pt idx="0">
                  <c:v>Primario</c:v>
                </c:pt>
                <c:pt idx="1">
                  <c:v>Industria</c:v>
                </c:pt>
                <c:pt idx="2">
                  <c:v>Transporte</c:v>
                </c:pt>
                <c:pt idx="3">
                  <c:v>Residencial</c:v>
                </c:pt>
                <c:pt idx="4">
                  <c:v>Otras</c:v>
                </c:pt>
              </c:strCache>
            </c:strRef>
          </c:cat>
          <c:val>
            <c:numRef>
              <c:f>'FIGURA 6'!$B$2:$B$6</c:f>
              <c:numCache>
                <c:formatCode>General</c:formatCode>
                <c:ptCount val="5"/>
                <c:pt idx="0">
                  <c:v>461022.27043802518</c:v>
                </c:pt>
                <c:pt idx="1">
                  <c:v>190661.70010965399</c:v>
                </c:pt>
                <c:pt idx="2">
                  <c:v>-1218135.3710113261</c:v>
                </c:pt>
                <c:pt idx="3">
                  <c:v>14267.711987948451</c:v>
                </c:pt>
                <c:pt idx="4">
                  <c:v>-361013.23302915931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7-49F6-9CC8-3EA95234B2DE}"/>
            </c:ext>
          </c:extLst>
        </c:ser>
        <c:ser>
          <c:idx val="1"/>
          <c:order val="1"/>
          <c:tx>
            <c:strRef>
              <c:f>'FIGURA 6'!$C$1</c:f>
              <c:strCache>
                <c:ptCount val="1"/>
                <c:pt idx="0">
                  <c:v>Tecnologia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'FIGURA 6'!$A$2:$A$6</c:f>
              <c:strCache>
                <c:ptCount val="5"/>
                <c:pt idx="0">
                  <c:v>Primario</c:v>
                </c:pt>
                <c:pt idx="1">
                  <c:v>Industria</c:v>
                </c:pt>
                <c:pt idx="2">
                  <c:v>Transporte</c:v>
                </c:pt>
                <c:pt idx="3">
                  <c:v>Residencial</c:v>
                </c:pt>
                <c:pt idx="4">
                  <c:v>Otras</c:v>
                </c:pt>
              </c:strCache>
            </c:strRef>
          </c:cat>
          <c:val>
            <c:numRef>
              <c:f>'FIGURA 6'!$C$2:$C$6</c:f>
              <c:numCache>
                <c:formatCode>General</c:formatCode>
                <c:ptCount val="5"/>
                <c:pt idx="0">
                  <c:v>-372133.12273877283</c:v>
                </c:pt>
                <c:pt idx="1">
                  <c:v>4359.7587722969547</c:v>
                </c:pt>
                <c:pt idx="2">
                  <c:v>330071.52506703598</c:v>
                </c:pt>
                <c:pt idx="3">
                  <c:v>31363.21163311007</c:v>
                </c:pt>
                <c:pt idx="4">
                  <c:v>210667.75963341381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7-49F6-9CC8-3EA95234B2DE}"/>
            </c:ext>
          </c:extLst>
        </c:ser>
        <c:ser>
          <c:idx val="2"/>
          <c:order val="2"/>
          <c:tx>
            <c:strRef>
              <c:f>'FIGURA 6'!$D$1</c:f>
              <c:strCache>
                <c:ptCount val="1"/>
                <c:pt idx="0">
                  <c:v>Demanda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'FIGURA 6'!$A$2:$A$6</c:f>
              <c:strCache>
                <c:ptCount val="5"/>
                <c:pt idx="0">
                  <c:v>Primario</c:v>
                </c:pt>
                <c:pt idx="1">
                  <c:v>Industria</c:v>
                </c:pt>
                <c:pt idx="2">
                  <c:v>Transporte</c:v>
                </c:pt>
                <c:pt idx="3">
                  <c:v>Residencial</c:v>
                </c:pt>
                <c:pt idx="4">
                  <c:v>Otras</c:v>
                </c:pt>
              </c:strCache>
            </c:strRef>
          </c:cat>
          <c:val>
            <c:numRef>
              <c:f>'FIGURA 6'!$D$2:$D$6</c:f>
              <c:numCache>
                <c:formatCode>General</c:formatCode>
                <c:ptCount val="5"/>
                <c:pt idx="0">
                  <c:v>1039783.366652043</c:v>
                </c:pt>
                <c:pt idx="1">
                  <c:v>258144.15105017059</c:v>
                </c:pt>
                <c:pt idx="2">
                  <c:v>660142.68949103612</c:v>
                </c:pt>
                <c:pt idx="3">
                  <c:v>-6681.2695850367554</c:v>
                </c:pt>
                <c:pt idx="4">
                  <c:v>629967.80127896299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7-49F6-9CC8-3EA95234B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3382127"/>
        <c:axId val="623394607"/>
      </c:barChart>
      <c:catAx>
        <c:axId val="6233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3394607"/>
        <c:crosses val="autoZero"/>
        <c:auto val="1"/>
        <c:lblAlgn val="ctr"/>
        <c:lblOffset val="100"/>
        <c:noMultiLvlLbl val="0"/>
      </c:catAx>
      <c:valAx>
        <c:axId val="6233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33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553200" cy="45593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897BAA5-6762-4186-9B50-C3DA82F69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346074</xdr:colOff>
      <xdr:row>5</xdr:row>
      <xdr:rowOff>101600</xdr:rowOff>
    </xdr:from>
    <xdr:to>
      <xdr:col>7</xdr:col>
      <xdr:colOff>482599</xdr:colOff>
      <xdr:row>22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628F2C-2EF6-40D9-A15D-0E9757689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358774</xdr:colOff>
      <xdr:row>12</xdr:row>
      <xdr:rowOff>38100</xdr:rowOff>
    </xdr:from>
    <xdr:to>
      <xdr:col>17</xdr:col>
      <xdr:colOff>342899</xdr:colOff>
      <xdr:row>31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80D626-E0E2-436B-8336-4C873B3B3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8</xdr:row>
      <xdr:rowOff>76200</xdr:rowOff>
    </xdr:from>
    <xdr:to>
      <xdr:col>11</xdr:col>
      <xdr:colOff>447675</xdr:colOff>
      <xdr:row>23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0B9B96-9501-E656-1FF4-BA4B925D0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454024</xdr:colOff>
      <xdr:row>3</xdr:row>
      <xdr:rowOff>196850</xdr:rowOff>
    </xdr:from>
    <xdr:to>
      <xdr:col>18</xdr:col>
      <xdr:colOff>349249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DE7702-94B7-70E4-0DF0-86D4CE1EC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86400" cy="367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33193-AFDB-46E3-BEB7-3DB4B5B03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193674</xdr:colOff>
      <xdr:row>8</xdr:row>
      <xdr:rowOff>76200</xdr:rowOff>
    </xdr:from>
    <xdr:to>
      <xdr:col>11</xdr:col>
      <xdr:colOff>368299</xdr:colOff>
      <xdr:row>24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DBB9D8-34E6-BB41-D7E1-F5225B673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AMER%20LAPTOP\Desktop\Articulos%20finalizados\DYLAN%20ARTICULO\Grafico_Consumo_Sectorial.xlsx" TargetMode="External"/><Relationship Id="rId1" Type="http://schemas.openxmlformats.org/officeDocument/2006/relationships/externalLinkPath" Target="Grafico_Consumo_Sectori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erc\Desktop\GAMER%20LAPTOP\Desktop\Articulos%20finalizados\DYLAN%20ARTICULO\2013%20inversa.xlsx" TargetMode="External"/><Relationship Id="rId1" Type="http://schemas.openxmlformats.org/officeDocument/2006/relationships/externalLinkPath" Target="2013%20invers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erc\Desktop\GAMER%20LAPTOP\Desktop\ECOTEC\TITULACION%201%20S1%202026\LADY\ENEMDUS\bases%20de%20datos%20gasto%20mas%20completas\Graficos_Excel.xlsx" TargetMode="External"/><Relationship Id="rId1" Type="http://schemas.openxmlformats.org/officeDocument/2006/relationships/externalLinkPath" Target="file:///C:\Users\puerc\Desktop\GAMER%20LAPTOP\Desktop\ECOTEC\TITULACION%201%20S1%202026\LADY\ENEMDUS\bases%20de%20datos%20gasto%20mas%20completas\Graficos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</sheetNames>
    <sheetDataSet>
      <sheetData sheetId="0">
        <row r="2">
          <cell r="A2" t="str">
            <v>Transporte</v>
          </cell>
          <cell r="B2">
            <v>52</v>
          </cell>
        </row>
        <row r="3">
          <cell r="A3" t="str">
            <v>Industria</v>
          </cell>
          <cell r="B3">
            <v>17</v>
          </cell>
        </row>
        <row r="4">
          <cell r="A4" t="str">
            <v>Residencial</v>
          </cell>
          <cell r="B4">
            <v>13</v>
          </cell>
        </row>
        <row r="5">
          <cell r="A5" t="str">
            <v>Comercial, serv. púb.</v>
          </cell>
          <cell r="B5">
            <v>6</v>
          </cell>
        </row>
        <row r="6">
          <cell r="A6" t="str">
            <v>Agro, pesca, minería</v>
          </cell>
          <cell r="B6">
            <v>1</v>
          </cell>
        </row>
        <row r="7">
          <cell r="A7" t="str">
            <v>Otros sectores</v>
          </cell>
          <cell r="B7">
            <v>7</v>
          </cell>
        </row>
        <row r="8">
          <cell r="A8" t="str">
            <v>Consumo propio</v>
          </cell>
          <cell r="B8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6"/>
      <sheetName val="Hoja2"/>
      <sheetName val="Hoja3"/>
      <sheetName val="Hoja4"/>
      <sheetName val="Hoja5"/>
    </sheetNames>
    <sheetDataSet>
      <sheetData sheetId="0"/>
      <sheetData sheetId="1"/>
      <sheetData sheetId="2"/>
      <sheetData sheetId="3"/>
      <sheetData sheetId="4"/>
      <sheetData sheetId="5">
        <row r="1">
          <cell r="B1">
            <v>2013</v>
          </cell>
          <cell r="C1">
            <v>2015</v>
          </cell>
          <cell r="D1">
            <v>2017</v>
          </cell>
          <cell r="E1">
            <v>2019</v>
          </cell>
          <cell r="F1">
            <v>2020</v>
          </cell>
          <cell r="G1">
            <v>2021</v>
          </cell>
          <cell r="H1">
            <v>2022</v>
          </cell>
          <cell r="I1">
            <v>2023</v>
          </cell>
        </row>
        <row r="2">
          <cell r="A2" t="str">
            <v>Intensidad energética transporte</v>
          </cell>
          <cell r="B2">
            <v>7.26</v>
          </cell>
          <cell r="C2">
            <v>7.6</v>
          </cell>
          <cell r="D2">
            <v>8.5500000000000007</v>
          </cell>
          <cell r="E2">
            <v>8.1300000000000008</v>
          </cell>
          <cell r="F2">
            <v>8.19</v>
          </cell>
          <cell r="G2">
            <v>8.26</v>
          </cell>
          <cell r="H2">
            <v>8.4</v>
          </cell>
          <cell r="I2">
            <v>8.7799999999999994</v>
          </cell>
        </row>
        <row r="3">
          <cell r="A3" t="str">
            <v>Intensidad energética industrial</v>
          </cell>
          <cell r="B3">
            <v>1.38</v>
          </cell>
          <cell r="C3">
            <v>1.36</v>
          </cell>
          <cell r="D3">
            <v>1.27</v>
          </cell>
          <cell r="E3">
            <v>1.29</v>
          </cell>
          <cell r="F3">
            <v>1.35</v>
          </cell>
          <cell r="G3">
            <v>1.28</v>
          </cell>
          <cell r="H3">
            <v>1.25</v>
          </cell>
          <cell r="I3">
            <v>1.19</v>
          </cell>
        </row>
        <row r="4">
          <cell r="A4" t="str">
            <v>Intensidad energética residencial</v>
          </cell>
          <cell r="B4">
            <v>0.19</v>
          </cell>
          <cell r="C4">
            <v>0.18</v>
          </cell>
          <cell r="D4">
            <v>0.18</v>
          </cell>
          <cell r="E4">
            <v>0.18</v>
          </cell>
          <cell r="F4">
            <v>0.21</v>
          </cell>
          <cell r="G4">
            <v>0.19</v>
          </cell>
          <cell r="H4">
            <v>0.18</v>
          </cell>
          <cell r="I4">
            <v>0.19</v>
          </cell>
        </row>
        <row r="5">
          <cell r="L5" t="str">
            <v>Intensidad energética transporte</v>
          </cell>
          <cell r="M5" t="str">
            <v>Intensidad energética industrial</v>
          </cell>
          <cell r="N5" t="str">
            <v>Intensidad energética residencial</v>
          </cell>
        </row>
        <row r="6">
          <cell r="K6" t="str">
            <v>2013-2015</v>
          </cell>
          <cell r="L6">
            <v>4.6831955922864994E-2</v>
          </cell>
          <cell r="M6">
            <v>-1.4492753623188259E-2</v>
          </cell>
          <cell r="N6">
            <v>-5.2631578947368467E-2</v>
          </cell>
        </row>
        <row r="7">
          <cell r="K7" t="str">
            <v>2015-2017</v>
          </cell>
          <cell r="L7">
            <v>0.12500000000000014</v>
          </cell>
          <cell r="M7">
            <v>-6.617647058823535E-2</v>
          </cell>
          <cell r="N7">
            <v>0</v>
          </cell>
        </row>
        <row r="8">
          <cell r="K8" t="str">
            <v>2017-2019</v>
          </cell>
          <cell r="L8">
            <v>-4.9122807017543846E-2</v>
          </cell>
          <cell r="M8">
            <v>1.5748031496063006E-2</v>
          </cell>
          <cell r="N8">
            <v>0</v>
          </cell>
        </row>
        <row r="9">
          <cell r="K9" t="str">
            <v>2019-2020</v>
          </cell>
          <cell r="L9">
            <v>7.3800738007378493E-3</v>
          </cell>
          <cell r="M9">
            <v>4.6511627906976785E-2</v>
          </cell>
          <cell r="N9">
            <v>0.16666666666666666</v>
          </cell>
        </row>
        <row r="10">
          <cell r="K10" t="str">
            <v>2020-2021</v>
          </cell>
          <cell r="L10">
            <v>8.5470085470085826E-3</v>
          </cell>
          <cell r="M10">
            <v>-5.1851851851851892E-2</v>
          </cell>
          <cell r="N10">
            <v>-9.5238095238095191E-2</v>
          </cell>
        </row>
        <row r="11">
          <cell r="K11" t="str">
            <v>2021-2022</v>
          </cell>
          <cell r="L11">
            <v>1.6949152542372951E-2</v>
          </cell>
          <cell r="M11">
            <v>-2.3437500000000021E-2</v>
          </cell>
          <cell r="N11">
            <v>-5.2631578947368467E-2</v>
          </cell>
        </row>
        <row r="12">
          <cell r="K12" t="str">
            <v>2022-2023</v>
          </cell>
          <cell r="L12">
            <v>4.5238095238095119E-2</v>
          </cell>
          <cell r="M12">
            <v>-4.8000000000000043E-2</v>
          </cell>
          <cell r="N12">
            <v>5.5555555555555608E-2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1"/>
      <sheetName val="Graf2"/>
      <sheetName val="Graf3"/>
      <sheetName val="Graf4"/>
    </sheetNames>
    <sheetDataSet>
      <sheetData sheetId="0">
        <row r="1">
          <cell r="B1" t="str">
            <v>Valor</v>
          </cell>
        </row>
        <row r="2">
          <cell r="A2" t="str">
            <v>Efecto Intensidad</v>
          </cell>
          <cell r="B2">
            <v>-0.9</v>
          </cell>
        </row>
        <row r="3">
          <cell r="A3" t="str">
            <v>Efecto Tecnología</v>
          </cell>
          <cell r="B3">
            <v>0.2</v>
          </cell>
        </row>
        <row r="4">
          <cell r="A4" t="str">
            <v>Efecto Demanda</v>
          </cell>
          <cell r="B4">
            <v>2.6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76FA-A1A1-4163-975C-493532AE0244}">
  <dimension ref="A1:G25"/>
  <sheetViews>
    <sheetView topLeftCell="A14" workbookViewId="0">
      <selection activeCell="A21" sqref="A21:A22"/>
    </sheetView>
  </sheetViews>
  <sheetFormatPr baseColWidth="10" defaultRowHeight="14.5" x14ac:dyDescent="0.35"/>
  <cols>
    <col min="2" max="2" width="13.36328125" bestFit="1" customWidth="1"/>
    <col min="4" max="4" width="14" bestFit="1" customWidth="1"/>
    <col min="6" max="7" width="11.36328125" bestFit="1" customWidth="1"/>
  </cols>
  <sheetData>
    <row r="1" spans="1:7" ht="25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2" t="s">
        <v>7</v>
      </c>
      <c r="B2" s="2">
        <v>35128</v>
      </c>
      <c r="C2" s="2">
        <v>53009</v>
      </c>
      <c r="D2" s="2">
        <v>4837</v>
      </c>
      <c r="E2" s="2">
        <v>6037</v>
      </c>
      <c r="F2" s="2">
        <f>B2/D2</f>
        <v>7.2623526979532764</v>
      </c>
      <c r="G2" s="2">
        <f>C2/E2</f>
        <v>8.7806857710783497</v>
      </c>
    </row>
    <row r="3" spans="1:7" ht="15" thickBot="1" x14ac:dyDescent="0.4">
      <c r="A3" s="2" t="s">
        <v>8</v>
      </c>
      <c r="B3" s="2">
        <v>16591</v>
      </c>
      <c r="C3" s="2">
        <v>16936</v>
      </c>
      <c r="D3" s="2">
        <v>11994</v>
      </c>
      <c r="E3" s="2">
        <v>14281</v>
      </c>
      <c r="F3" s="2">
        <f t="shared" ref="F3:G6" si="0">B3/D3</f>
        <v>1.3832749708187426</v>
      </c>
      <c r="G3" s="2">
        <f t="shared" si="0"/>
        <v>1.1859113507457462</v>
      </c>
    </row>
    <row r="4" spans="1:7" ht="15" thickBot="1" x14ac:dyDescent="0.4">
      <c r="A4" s="2" t="s">
        <v>9</v>
      </c>
      <c r="B4" s="2">
        <v>11442</v>
      </c>
      <c r="C4" s="2">
        <v>13821</v>
      </c>
      <c r="D4" s="2">
        <v>61016</v>
      </c>
      <c r="E4" s="2">
        <v>74729</v>
      </c>
      <c r="F4" s="2">
        <f t="shared" si="0"/>
        <v>0.18752458371574668</v>
      </c>
      <c r="G4" s="2">
        <f t="shared" si="0"/>
        <v>0.18494827978428721</v>
      </c>
    </row>
    <row r="5" spans="1:7" ht="25.5" thickBot="1" x14ac:dyDescent="0.4">
      <c r="A5" s="2" t="s">
        <v>10</v>
      </c>
      <c r="B5" s="2">
        <v>23094</v>
      </c>
      <c r="C5" s="2">
        <v>18274</v>
      </c>
      <c r="D5" s="2">
        <v>22823</v>
      </c>
      <c r="E5" s="2">
        <v>21703</v>
      </c>
      <c r="F5" s="2">
        <f t="shared" si="0"/>
        <v>1.0118739867677342</v>
      </c>
      <c r="G5" s="2">
        <f t="shared" si="0"/>
        <v>0.84200340966686638</v>
      </c>
    </row>
    <row r="6" spans="1:7" ht="15" thickBot="1" x14ac:dyDescent="0.4">
      <c r="A6" s="2" t="s">
        <v>11</v>
      </c>
      <c r="B6" s="2">
        <v>86255</v>
      </c>
      <c r="C6" s="2">
        <v>102040</v>
      </c>
      <c r="D6" s="2">
        <v>100670</v>
      </c>
      <c r="E6" s="2">
        <v>116750</v>
      </c>
      <c r="F6" s="2">
        <f t="shared" si="0"/>
        <v>0.85680937717294126</v>
      </c>
      <c r="G6" s="2">
        <f t="shared" si="0"/>
        <v>0.87400428265524621</v>
      </c>
    </row>
    <row r="8" spans="1:7" x14ac:dyDescent="0.35">
      <c r="A8" s="3" t="s">
        <v>12</v>
      </c>
      <c r="B8">
        <f>C6-B6</f>
        <v>15785</v>
      </c>
    </row>
    <row r="9" spans="1:7" x14ac:dyDescent="0.35">
      <c r="A9" s="3" t="s">
        <v>13</v>
      </c>
      <c r="B9" s="5">
        <f>(C2-B2)/(LN(C2)-LN(B2))</f>
        <v>43457.108657459285</v>
      </c>
    </row>
    <row r="10" spans="1:7" x14ac:dyDescent="0.35">
      <c r="A10" s="3" t="s">
        <v>14</v>
      </c>
      <c r="B10" s="5">
        <f t="shared" ref="B10:B12" si="1">(C3-B3)/(LN(C3)-LN(B3))</f>
        <v>16762.908295994715</v>
      </c>
    </row>
    <row r="11" spans="1:7" x14ac:dyDescent="0.35">
      <c r="A11" s="3" t="s">
        <v>15</v>
      </c>
      <c r="B11" s="5">
        <f t="shared" si="1"/>
        <v>12594.07314885799</v>
      </c>
    </row>
    <row r="12" spans="1:7" x14ac:dyDescent="0.35">
      <c r="A12" s="3" t="s">
        <v>16</v>
      </c>
      <c r="B12" s="5">
        <f t="shared" si="1"/>
        <v>20590.058186790549</v>
      </c>
    </row>
    <row r="13" spans="1:7" ht="58" x14ac:dyDescent="0.35">
      <c r="A13" s="4" t="s">
        <v>17</v>
      </c>
      <c r="B13" s="6">
        <f>LN(E6/D6)</f>
        <v>0.14818705580767474</v>
      </c>
    </row>
    <row r="14" spans="1:7" ht="58" x14ac:dyDescent="0.35">
      <c r="A14" s="4" t="s">
        <v>18</v>
      </c>
      <c r="B14" s="6">
        <f>LN((E2/$E$6)/(D2/$D$6))</f>
        <v>7.3425450165768139E-2</v>
      </c>
      <c r="C14" s="4" t="s">
        <v>22</v>
      </c>
      <c r="D14" s="6">
        <f>LN((G2)/(F2))</f>
        <v>0.18985067122370688</v>
      </c>
    </row>
    <row r="15" spans="1:7" ht="58" x14ac:dyDescent="0.35">
      <c r="A15" s="4" t="s">
        <v>19</v>
      </c>
      <c r="B15" s="6">
        <f>LN((E3/$E$6)/(D3/$D$6))</f>
        <v>2.6336401916803375E-2</v>
      </c>
      <c r="C15" s="4" t="s">
        <v>19</v>
      </c>
      <c r="D15" s="7">
        <f>LN((G3)/(F3))</f>
        <v>-0.15394230355313221</v>
      </c>
    </row>
    <row r="16" spans="1:7" ht="58" x14ac:dyDescent="0.35">
      <c r="A16" s="4" t="s">
        <v>20</v>
      </c>
      <c r="B16" s="6">
        <f>LN((E4/$E$6)/(D4/$D$6))</f>
        <v>5.4545055676295702E-2</v>
      </c>
      <c r="C16" s="4" t="s">
        <v>20</v>
      </c>
      <c r="D16" s="7">
        <f t="shared" ref="D16:D17" si="2">LN((G4)/(F4))</f>
        <v>-1.3833732708417838E-2</v>
      </c>
    </row>
    <row r="17" spans="1:5" ht="58" x14ac:dyDescent="0.35">
      <c r="A17" s="4" t="s">
        <v>21</v>
      </c>
      <c r="B17" s="6">
        <f>LN((E5/$E$6)/(D5/$D$6))</f>
        <v>-0.1985053553905661</v>
      </c>
      <c r="C17" s="4" t="s">
        <v>21</v>
      </c>
      <c r="D17" s="7">
        <f t="shared" si="2"/>
        <v>-0.18377525937034367</v>
      </c>
    </row>
    <row r="18" spans="1:5" x14ac:dyDescent="0.35">
      <c r="A18" s="4"/>
    </row>
    <row r="19" spans="1:5" ht="15" thickBot="1" x14ac:dyDescent="0.4"/>
    <row r="20" spans="1:5" ht="39" thickBot="1" x14ac:dyDescent="0.4">
      <c r="A20" s="1" t="s">
        <v>0</v>
      </c>
      <c r="B20" s="1" t="s">
        <v>23</v>
      </c>
      <c r="C20" s="1" t="s">
        <v>24</v>
      </c>
      <c r="D20" s="1" t="s">
        <v>25</v>
      </c>
      <c r="E20" s="1" t="s">
        <v>26</v>
      </c>
    </row>
    <row r="21" spans="1:5" ht="15" thickBot="1" x14ac:dyDescent="0.4">
      <c r="A21" s="1" t="s">
        <v>7</v>
      </c>
      <c r="B21" s="8">
        <f>B9*$B$13</f>
        <v>6439.7809858631044</v>
      </c>
      <c r="C21" s="8">
        <f>B14*B9</f>
        <v>3190.8577660766477</v>
      </c>
      <c r="D21" s="8">
        <f>B9*D14</f>
        <v>8250.3612480602096</v>
      </c>
      <c r="E21" s="9">
        <f>SUM(B21:D21)</f>
        <v>17880.999999999964</v>
      </c>
    </row>
    <row r="22" spans="1:5" ht="15" thickBot="1" x14ac:dyDescent="0.4">
      <c r="A22" s="1" t="s">
        <v>8</v>
      </c>
      <c r="B22" s="8">
        <f t="shared" ref="B22:B24" si="3">B10*$B$13</f>
        <v>2484.046027157503</v>
      </c>
      <c r="C22" s="8">
        <f>B15*B10</f>
        <v>441.47469017783442</v>
      </c>
      <c r="D22" s="8">
        <f>B10*D15</f>
        <v>-2580.5207173353365</v>
      </c>
      <c r="E22" s="9">
        <f>SUM(B22:D22)</f>
        <v>345.00000000000091</v>
      </c>
    </row>
    <row r="23" spans="1:5" ht="15" thickBot="1" x14ac:dyDescent="0.4">
      <c r="A23" s="1" t="s">
        <v>9</v>
      </c>
      <c r="B23" s="8">
        <f t="shared" si="3"/>
        <v>1866.2786205557568</v>
      </c>
      <c r="C23" s="8">
        <f>B16*B11</f>
        <v>686.94442109579973</v>
      </c>
      <c r="D23" s="8">
        <f>B11*D16</f>
        <v>-174.22304165156359</v>
      </c>
      <c r="E23" s="9">
        <f>SUM(B23:D23)</f>
        <v>2378.9999999999932</v>
      </c>
    </row>
    <row r="24" spans="1:5" ht="15" thickBot="1" x14ac:dyDescent="0.4">
      <c r="A24" s="1" t="s">
        <v>27</v>
      </c>
      <c r="B24" s="8">
        <f t="shared" si="3"/>
        <v>3051.1801016092013</v>
      </c>
      <c r="C24" s="8">
        <f>B17*B12</f>
        <v>-4087.2368178812931</v>
      </c>
      <c r="D24" s="8">
        <f t="shared" ref="D24" si="4">B12*D17</f>
        <v>-3783.9432837279014</v>
      </c>
      <c r="E24" s="9">
        <f>SUM(B24:D24)</f>
        <v>-4819.9999999999927</v>
      </c>
    </row>
    <row r="25" spans="1:5" ht="26.5" thickBot="1" x14ac:dyDescent="0.4">
      <c r="A25" s="1" t="s">
        <v>28</v>
      </c>
      <c r="B25" s="9">
        <f>SUM(B21:B24)</f>
        <v>13841.285735185565</v>
      </c>
      <c r="C25" s="9">
        <f t="shared" ref="C25:D25" si="5">SUM(C21:C24)</f>
        <v>232.04005946898906</v>
      </c>
      <c r="D25" s="9">
        <f t="shared" si="5"/>
        <v>1711.6742053454077</v>
      </c>
      <c r="E25" s="9">
        <f>SUM(E21:E24)</f>
        <v>15784.999999999964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EDBC-41EB-438C-91A0-C5DD54A44F26}">
  <dimension ref="A1:G25"/>
  <sheetViews>
    <sheetView topLeftCell="A14" workbookViewId="0">
      <selection activeCell="H22" sqref="H22"/>
    </sheetView>
  </sheetViews>
  <sheetFormatPr baseColWidth="10" defaultRowHeight="14.5" x14ac:dyDescent="0.35"/>
  <cols>
    <col min="2" max="2" width="13.36328125" bestFit="1" customWidth="1"/>
    <col min="4" max="4" width="14" bestFit="1" customWidth="1"/>
    <col min="6" max="7" width="11.36328125" bestFit="1" customWidth="1"/>
  </cols>
  <sheetData>
    <row r="1" spans="1:7" ht="25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2" t="s">
        <v>7</v>
      </c>
      <c r="B2" s="2">
        <v>35128</v>
      </c>
      <c r="C2" s="2">
        <v>53009</v>
      </c>
      <c r="D2" s="2">
        <v>4837</v>
      </c>
      <c r="E2" s="2">
        <v>6037</v>
      </c>
      <c r="F2" s="2">
        <v>3149.2466239404594</v>
      </c>
      <c r="G2" s="2">
        <v>3807.6565777704159</v>
      </c>
    </row>
    <row r="3" spans="1:7" ht="15" thickBot="1" x14ac:dyDescent="0.4">
      <c r="A3" s="2" t="s">
        <v>8</v>
      </c>
      <c r="B3" s="2">
        <v>16591</v>
      </c>
      <c r="C3" s="2">
        <v>16936</v>
      </c>
      <c r="D3" s="2">
        <v>11994</v>
      </c>
      <c r="E3" s="2">
        <v>14281</v>
      </c>
      <c r="F3" s="2">
        <v>599.84335834583965</v>
      </c>
      <c r="G3" s="2">
        <v>514.25859813738543</v>
      </c>
    </row>
    <row r="4" spans="1:7" ht="15" thickBot="1" x14ac:dyDescent="0.4">
      <c r="A4" s="2" t="s">
        <v>9</v>
      </c>
      <c r="B4" s="2">
        <v>11442</v>
      </c>
      <c r="C4" s="2">
        <v>13821</v>
      </c>
      <c r="D4" s="2">
        <v>61016</v>
      </c>
      <c r="E4" s="2">
        <v>74729</v>
      </c>
      <c r="F4" s="2">
        <v>81.31816048249641</v>
      </c>
      <c r="G4" s="2">
        <v>80.200972045658318</v>
      </c>
    </row>
    <row r="5" spans="1:7" ht="25.5" thickBot="1" x14ac:dyDescent="0.4">
      <c r="A5" s="2" t="s">
        <v>10</v>
      </c>
      <c r="B5" s="2">
        <v>23094</v>
      </c>
      <c r="C5" s="2">
        <v>18274</v>
      </c>
      <c r="D5" s="2">
        <v>22823</v>
      </c>
      <c r="E5" s="2">
        <v>21703</v>
      </c>
      <c r="F5" s="2">
        <v>438.78903562196029</v>
      </c>
      <c r="G5" s="2">
        <v>365.12635856793992</v>
      </c>
    </row>
    <row r="6" spans="1:7" ht="15" thickBot="1" x14ac:dyDescent="0.4">
      <c r="A6" s="2" t="s">
        <v>11</v>
      </c>
      <c r="B6" s="2">
        <v>86255</v>
      </c>
      <c r="C6" s="2">
        <v>102040</v>
      </c>
      <c r="D6" s="2">
        <v>100670</v>
      </c>
      <c r="E6" s="2">
        <v>116750</v>
      </c>
      <c r="F6" s="2">
        <v>371.5468183172743</v>
      </c>
      <c r="G6" s="2">
        <v>379.00321713062101</v>
      </c>
    </row>
    <row r="8" spans="1:7" x14ac:dyDescent="0.35">
      <c r="A8" s="3" t="s">
        <v>12</v>
      </c>
      <c r="B8">
        <f>C6-B6</f>
        <v>15785</v>
      </c>
    </row>
    <row r="9" spans="1:7" x14ac:dyDescent="0.35">
      <c r="A9" s="3" t="s">
        <v>13</v>
      </c>
      <c r="B9" s="5">
        <f>(C2-B2)/(LN(C2)-LN(B2))</f>
        <v>43457.108657459285</v>
      </c>
    </row>
    <row r="10" spans="1:7" x14ac:dyDescent="0.35">
      <c r="A10" s="3" t="s">
        <v>14</v>
      </c>
      <c r="B10" s="5">
        <f t="shared" ref="B10:B12" si="0">(C3-B3)/(LN(C3)-LN(B3))</f>
        <v>16762.908295994715</v>
      </c>
    </row>
    <row r="11" spans="1:7" x14ac:dyDescent="0.35">
      <c r="A11" s="3" t="s">
        <v>15</v>
      </c>
      <c r="B11" s="5">
        <f t="shared" si="0"/>
        <v>12594.07314885799</v>
      </c>
    </row>
    <row r="12" spans="1:7" x14ac:dyDescent="0.35">
      <c r="A12" s="3" t="s">
        <v>16</v>
      </c>
      <c r="B12" s="5">
        <f t="shared" si="0"/>
        <v>20590.058186790549</v>
      </c>
    </row>
    <row r="13" spans="1:7" ht="58" x14ac:dyDescent="0.35">
      <c r="A13" s="4" t="s">
        <v>17</v>
      </c>
      <c r="B13" s="6">
        <f>LN(E6/D6)</f>
        <v>0.14818705580767474</v>
      </c>
    </row>
    <row r="14" spans="1:7" ht="58" x14ac:dyDescent="0.35">
      <c r="A14" s="4" t="s">
        <v>18</v>
      </c>
      <c r="B14" s="6">
        <f>LN((E2/$E$6)/(D2/$D$6))</f>
        <v>7.3425450165768139E-2</v>
      </c>
      <c r="C14" s="4" t="s">
        <v>22</v>
      </c>
      <c r="D14" s="6">
        <f>LN((G2)/(F2))</f>
        <v>0.18985067122370688</v>
      </c>
    </row>
    <row r="15" spans="1:7" ht="58" x14ac:dyDescent="0.35">
      <c r="A15" s="4" t="s">
        <v>19</v>
      </c>
      <c r="B15" s="6">
        <f>LN((E3/$E$6)/(D3/$D$6))</f>
        <v>2.6336401916803375E-2</v>
      </c>
      <c r="C15" s="4" t="s">
        <v>19</v>
      </c>
      <c r="D15" s="7">
        <f>LN((G3)/(F3))</f>
        <v>-0.15394230355313221</v>
      </c>
    </row>
    <row r="16" spans="1:7" ht="58" x14ac:dyDescent="0.35">
      <c r="A16" s="4" t="s">
        <v>20</v>
      </c>
      <c r="B16" s="6">
        <f>LN((E4/$E$6)/(D4/$D$6))</f>
        <v>5.4545055676295702E-2</v>
      </c>
      <c r="C16" s="4" t="s">
        <v>20</v>
      </c>
      <c r="D16" s="7">
        <f>LN((G4)/(F4))</f>
        <v>-1.3833732708417951E-2</v>
      </c>
    </row>
    <row r="17" spans="1:5" ht="58" x14ac:dyDescent="0.35">
      <c r="A17" s="4" t="s">
        <v>21</v>
      </c>
      <c r="B17" s="6">
        <f>LN((E5/$E$6)/(D5/$D$6))</f>
        <v>-0.1985053553905661</v>
      </c>
      <c r="C17" s="4" t="s">
        <v>21</v>
      </c>
      <c r="D17" s="7">
        <f>LN((G5)/(F5))</f>
        <v>-0.18377525937034381</v>
      </c>
    </row>
    <row r="18" spans="1:5" x14ac:dyDescent="0.35">
      <c r="A18" s="4"/>
    </row>
    <row r="19" spans="1:5" ht="15" thickBot="1" x14ac:dyDescent="0.4"/>
    <row r="20" spans="1:5" ht="39" thickBot="1" x14ac:dyDescent="0.4">
      <c r="A20" s="1" t="s">
        <v>0</v>
      </c>
      <c r="B20" s="1" t="s">
        <v>23</v>
      </c>
      <c r="C20" s="1" t="s">
        <v>24</v>
      </c>
      <c r="D20" s="1" t="s">
        <v>25</v>
      </c>
      <c r="E20" s="1" t="s">
        <v>26</v>
      </c>
    </row>
    <row r="21" spans="1:5" ht="15" thickBot="1" x14ac:dyDescent="0.4">
      <c r="A21" s="1" t="s">
        <v>7</v>
      </c>
      <c r="B21" s="8">
        <f>B9*$B$13</f>
        <v>6439.7809858631044</v>
      </c>
      <c r="C21" s="8">
        <f>B14*B9</f>
        <v>3190.8577660766477</v>
      </c>
      <c r="D21" s="8">
        <f>B9*D14</f>
        <v>8250.3612480602096</v>
      </c>
      <c r="E21" s="9">
        <f>SUM(B21:D21)</f>
        <v>17880.999999999964</v>
      </c>
    </row>
    <row r="22" spans="1:5" ht="15" thickBot="1" x14ac:dyDescent="0.4">
      <c r="A22" s="1" t="s">
        <v>8</v>
      </c>
      <c r="B22" s="8">
        <f t="shared" ref="B22:B24" si="1">B10*$B$13</f>
        <v>2484.046027157503</v>
      </c>
      <c r="C22" s="8">
        <f>B15*B10</f>
        <v>441.47469017783442</v>
      </c>
      <c r="D22" s="8">
        <f>B10*D15</f>
        <v>-2580.5207173353365</v>
      </c>
      <c r="E22" s="9">
        <f>SUM(B22:D22)</f>
        <v>345.00000000000091</v>
      </c>
    </row>
    <row r="23" spans="1:5" ht="15" thickBot="1" x14ac:dyDescent="0.4">
      <c r="A23" s="1" t="s">
        <v>9</v>
      </c>
      <c r="B23" s="8">
        <f t="shared" si="1"/>
        <v>1866.2786205557568</v>
      </c>
      <c r="C23" s="8">
        <f>B16*B11</f>
        <v>686.94442109579973</v>
      </c>
      <c r="D23" s="8">
        <f>B11*D16</f>
        <v>-174.22304165156501</v>
      </c>
      <c r="E23" s="9">
        <f>SUM(B23:D23)</f>
        <v>2378.9999999999918</v>
      </c>
    </row>
    <row r="24" spans="1:5" ht="15" thickBot="1" x14ac:dyDescent="0.4">
      <c r="A24" s="1" t="s">
        <v>27</v>
      </c>
      <c r="B24" s="8">
        <f t="shared" si="1"/>
        <v>3051.1801016092013</v>
      </c>
      <c r="C24" s="8">
        <f>B17*B12</f>
        <v>-4087.2368178812931</v>
      </c>
      <c r="D24" s="8">
        <f t="shared" ref="D24" si="2">B12*D17</f>
        <v>-3783.9432837279041</v>
      </c>
      <c r="E24" s="9">
        <f>SUM(B24:D24)</f>
        <v>-4819.9999999999964</v>
      </c>
    </row>
    <row r="25" spans="1:5" ht="26.5" thickBot="1" x14ac:dyDescent="0.4">
      <c r="A25" s="1" t="s">
        <v>28</v>
      </c>
      <c r="B25" s="9">
        <f>SUM(B21:B24)</f>
        <v>13841.285735185565</v>
      </c>
      <c r="C25" s="9">
        <f t="shared" ref="C25:D25" si="3">SUM(C21:C24)</f>
        <v>232.04005946898906</v>
      </c>
      <c r="D25" s="9">
        <f t="shared" si="3"/>
        <v>1711.6742053454041</v>
      </c>
      <c r="E25" s="9">
        <f>SUM(E21:E24)</f>
        <v>15784.99999999996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4199-7F74-4E2F-A196-9E0EC6D49D68}">
  <dimension ref="A1:I16"/>
  <sheetViews>
    <sheetView workbookViewId="0">
      <selection activeCell="I16" sqref="I16"/>
    </sheetView>
  </sheetViews>
  <sheetFormatPr baseColWidth="10" defaultRowHeight="14.5" x14ac:dyDescent="0.35"/>
  <sheetData>
    <row r="1" spans="1:9" x14ac:dyDescent="0.35">
      <c r="A1" s="4"/>
      <c r="B1" s="4">
        <v>2013</v>
      </c>
      <c r="C1" s="4">
        <v>2015</v>
      </c>
      <c r="D1" s="4">
        <v>2017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</row>
    <row r="2" spans="1:9" ht="24.5" x14ac:dyDescent="0.35">
      <c r="A2" s="23" t="s">
        <v>61</v>
      </c>
      <c r="B2" s="23">
        <v>15232905.920000002</v>
      </c>
      <c r="C2" s="23">
        <v>16882038.84</v>
      </c>
      <c r="D2" s="23">
        <v>19053707.960000001</v>
      </c>
      <c r="E2" s="23">
        <v>19581881.48</v>
      </c>
      <c r="F2" s="23">
        <v>16005652.400000002</v>
      </c>
      <c r="G2" s="23">
        <v>19917952.48</v>
      </c>
      <c r="H2" s="23">
        <v>20988609.640000001</v>
      </c>
      <c r="I2" s="23">
        <v>22986822.760000002</v>
      </c>
    </row>
    <row r="3" spans="1:9" x14ac:dyDescent="0.35">
      <c r="A3" s="23" t="s">
        <v>51</v>
      </c>
      <c r="B3" s="23">
        <v>4837</v>
      </c>
      <c r="C3" s="23">
        <v>5121</v>
      </c>
      <c r="D3" s="23">
        <v>5139</v>
      </c>
      <c r="E3" s="23">
        <v>5554</v>
      </c>
      <c r="F3" s="23">
        <v>4508</v>
      </c>
      <c r="G3" s="23">
        <v>5558</v>
      </c>
      <c r="H3" s="23">
        <v>5760</v>
      </c>
      <c r="I3" s="23">
        <v>6037</v>
      </c>
    </row>
    <row r="4" spans="1:9" ht="36.5" x14ac:dyDescent="0.35">
      <c r="A4" s="23" t="s">
        <v>70</v>
      </c>
      <c r="B4" s="23">
        <f>B2/B3</f>
        <v>3149.2466239404594</v>
      </c>
      <c r="C4" s="23">
        <f t="shared" ref="C4:I4" si="0">C2/C3</f>
        <v>3296.6293380199181</v>
      </c>
      <c r="D4" s="23">
        <f t="shared" si="0"/>
        <v>3707.6684101965366</v>
      </c>
      <c r="E4" s="23">
        <f t="shared" si="0"/>
        <v>3525.7258696435001</v>
      </c>
      <c r="F4" s="23">
        <f t="shared" si="0"/>
        <v>3550.499645075422</v>
      </c>
      <c r="G4" s="23">
        <f t="shared" si="0"/>
        <v>3583.6546383591221</v>
      </c>
      <c r="H4" s="23">
        <f t="shared" si="0"/>
        <v>3643.855840277778</v>
      </c>
      <c r="I4" s="23">
        <f t="shared" si="0"/>
        <v>3807.6565777704159</v>
      </c>
    </row>
    <row r="5" spans="1:9" ht="24.5" x14ac:dyDescent="0.35">
      <c r="A5" s="23" t="s">
        <v>62</v>
      </c>
      <c r="B5" s="23">
        <v>7194521.2400000012</v>
      </c>
      <c r="C5" s="23">
        <v>7400933.8800000008</v>
      </c>
      <c r="D5" s="23">
        <v>6985506.7600000007</v>
      </c>
      <c r="E5" s="23">
        <v>7193220.3200000003</v>
      </c>
      <c r="F5" s="23">
        <v>6822458.120000001</v>
      </c>
      <c r="G5" s="23">
        <v>7532326.8000000007</v>
      </c>
      <c r="H5" s="23">
        <v>7882707.9200000009</v>
      </c>
      <c r="I5" s="23">
        <v>7344127.040000001</v>
      </c>
    </row>
    <row r="6" spans="1:9" ht="36.5" x14ac:dyDescent="0.35">
      <c r="A6" s="23" t="s">
        <v>53</v>
      </c>
      <c r="B6" s="23">
        <v>11994</v>
      </c>
      <c r="C6" s="23">
        <v>12539</v>
      </c>
      <c r="D6" s="23">
        <v>12717</v>
      </c>
      <c r="E6" s="23">
        <v>12867</v>
      </c>
      <c r="F6" s="23">
        <v>11616</v>
      </c>
      <c r="G6" s="23">
        <v>13592</v>
      </c>
      <c r="H6" s="23">
        <v>14523</v>
      </c>
      <c r="I6" s="23">
        <v>14281</v>
      </c>
    </row>
    <row r="7" spans="1:9" ht="36.5" x14ac:dyDescent="0.35">
      <c r="A7" s="23" t="s">
        <v>71</v>
      </c>
      <c r="B7" s="23">
        <f>B5/B6</f>
        <v>599.84335834583965</v>
      </c>
      <c r="C7" s="23">
        <f t="shared" ref="C7" si="1">C5/C6</f>
        <v>590.23318286944743</v>
      </c>
      <c r="D7" s="23">
        <f t="shared" ref="D7" si="2">D5/D6</f>
        <v>549.30461272312652</v>
      </c>
      <c r="E7" s="23">
        <f t="shared" ref="E7" si="3">E5/E6</f>
        <v>559.04409108572315</v>
      </c>
      <c r="F7" s="23">
        <f t="shared" ref="F7" si="4">F5/F6</f>
        <v>587.33282713498636</v>
      </c>
      <c r="G7" s="23">
        <f t="shared" ref="G7" si="5">G5/G6</f>
        <v>554.17354326074167</v>
      </c>
      <c r="H7" s="23">
        <f t="shared" ref="H7" si="6">H5/H6</f>
        <v>542.77407698134004</v>
      </c>
      <c r="I7" s="23">
        <f t="shared" ref="I7" si="7">I5/I6</f>
        <v>514.25859813738543</v>
      </c>
    </row>
    <row r="8" spans="1:9" ht="24.5" x14ac:dyDescent="0.35">
      <c r="A8" s="23" t="s">
        <v>63</v>
      </c>
      <c r="B8" s="23">
        <v>4961708.8800000008</v>
      </c>
      <c r="C8" s="23">
        <v>5257017.7200000007</v>
      </c>
      <c r="D8" s="23">
        <v>5279133.3600000003</v>
      </c>
      <c r="E8" s="23">
        <v>5501157.040000001</v>
      </c>
      <c r="F8" s="23">
        <v>5638620.9200000009</v>
      </c>
      <c r="G8" s="23">
        <v>5638620.9200000009</v>
      </c>
      <c r="H8" s="23">
        <v>5675046.6800000006</v>
      </c>
      <c r="I8" s="23">
        <v>5993338.4400000004</v>
      </c>
    </row>
    <row r="9" spans="1:9" x14ac:dyDescent="0.35">
      <c r="A9" s="23" t="s">
        <v>55</v>
      </c>
      <c r="B9" s="23">
        <v>61016</v>
      </c>
      <c r="C9" s="23">
        <v>65746</v>
      </c>
      <c r="D9" s="23">
        <v>66148</v>
      </c>
      <c r="E9" s="23">
        <v>68962</v>
      </c>
      <c r="F9" s="23">
        <v>61644</v>
      </c>
      <c r="G9" s="23">
        <v>68637</v>
      </c>
      <c r="H9" s="23">
        <v>73693</v>
      </c>
      <c r="I9" s="23">
        <v>74729</v>
      </c>
    </row>
    <row r="10" spans="1:9" ht="36.5" x14ac:dyDescent="0.35">
      <c r="A10" s="23" t="s">
        <v>72</v>
      </c>
      <c r="B10" s="23">
        <f>B8/B9</f>
        <v>81.31816048249641</v>
      </c>
      <c r="C10" s="23">
        <f t="shared" ref="C10" si="8">C8/C9</f>
        <v>79.959506585952013</v>
      </c>
      <c r="D10" s="23">
        <f t="shared" ref="D10" si="9">D8/D9</f>
        <v>79.807905907963971</v>
      </c>
      <c r="E10" s="23">
        <f t="shared" ref="E10" si="10">E8/E9</f>
        <v>79.770845393115067</v>
      </c>
      <c r="F10" s="23">
        <f t="shared" ref="F10" si="11">F8/F9</f>
        <v>91.470717669197342</v>
      </c>
      <c r="G10" s="23">
        <f t="shared" ref="G10" si="12">G8/G9</f>
        <v>82.151331206200751</v>
      </c>
      <c r="H10" s="23">
        <f t="shared" ref="H10" si="13">H8/H9</f>
        <v>77.009304547243303</v>
      </c>
      <c r="I10" s="23">
        <f t="shared" ref="I10" si="14">I8/I9</f>
        <v>80.200972045658318</v>
      </c>
    </row>
    <row r="11" spans="1:9" ht="24.5" x14ac:dyDescent="0.35">
      <c r="A11" s="23" t="s">
        <v>64</v>
      </c>
      <c r="B11" s="23">
        <v>10014482.16</v>
      </c>
      <c r="C11" s="23">
        <v>9398713.3600000013</v>
      </c>
      <c r="D11" s="23">
        <v>8778174.5200000014</v>
      </c>
      <c r="E11" s="23">
        <v>9573470.2800000012</v>
      </c>
      <c r="F11" s="23">
        <v>8136820.9600000009</v>
      </c>
      <c r="G11" s="23">
        <v>7929974.6800000006</v>
      </c>
      <c r="H11" s="23">
        <v>8921709.3600000013</v>
      </c>
      <c r="I11" s="23">
        <v>7924337.3600000003</v>
      </c>
    </row>
    <row r="12" spans="1:9" x14ac:dyDescent="0.35">
      <c r="A12" s="23" t="s">
        <v>69</v>
      </c>
      <c r="B12" s="23">
        <f>(B15-B9-B6-B3)</f>
        <v>22823</v>
      </c>
      <c r="C12" s="23">
        <f t="shared" ref="C12:I12" si="15">(C15-C9-C6-C3)</f>
        <v>16964</v>
      </c>
      <c r="D12" s="23">
        <f t="shared" si="15"/>
        <v>20756</v>
      </c>
      <c r="E12" s="23">
        <f t="shared" si="15"/>
        <v>18787</v>
      </c>
      <c r="F12" s="23">
        <f t="shared" si="15"/>
        <v>14056</v>
      </c>
      <c r="G12" s="23">
        <f t="shared" si="15"/>
        <v>18083</v>
      </c>
      <c r="H12" s="23">
        <f t="shared" si="15"/>
        <v>20834</v>
      </c>
      <c r="I12" s="23">
        <f t="shared" si="15"/>
        <v>21703</v>
      </c>
    </row>
    <row r="13" spans="1:9" ht="24.5" x14ac:dyDescent="0.35">
      <c r="A13" s="23" t="s">
        <v>73</v>
      </c>
      <c r="B13" s="23">
        <f>B11/B12</f>
        <v>438.78903562196029</v>
      </c>
      <c r="C13" s="23">
        <f t="shared" ref="C13" si="16">C11/C12</f>
        <v>554.03875029474193</v>
      </c>
      <c r="D13" s="23">
        <f t="shared" ref="D13" si="17">D11/D12</f>
        <v>422.92226440547319</v>
      </c>
      <c r="E13" s="23">
        <f t="shared" ref="E13" si="18">E11/E12</f>
        <v>509.57951136424128</v>
      </c>
      <c r="F13" s="23">
        <f t="shared" ref="F13" si="19">F11/F12</f>
        <v>578.88595332953901</v>
      </c>
      <c r="G13" s="23">
        <f t="shared" ref="G13" si="20">G11/G12</f>
        <v>438.5320289774927</v>
      </c>
      <c r="H13" s="23">
        <f t="shared" ref="H13" si="21">H11/H12</f>
        <v>428.22834597292893</v>
      </c>
      <c r="I13" s="23">
        <f t="shared" ref="I13" si="22">I11/I12</f>
        <v>365.12635856793992</v>
      </c>
    </row>
    <row r="14" spans="1:9" ht="24.5" x14ac:dyDescent="0.35">
      <c r="A14" s="23" t="s">
        <v>65</v>
      </c>
      <c r="B14" s="23">
        <v>37403618.200000003</v>
      </c>
      <c r="C14" s="23">
        <v>38938703.800000004</v>
      </c>
      <c r="D14" s="23">
        <v>40096522.600000001</v>
      </c>
      <c r="E14" s="23">
        <v>41849729.120000005</v>
      </c>
      <c r="F14" s="23">
        <v>36603552.400000006</v>
      </c>
      <c r="G14" s="23">
        <v>41018874.880000003</v>
      </c>
      <c r="H14" s="23">
        <v>43468073.600000001</v>
      </c>
      <c r="I14" s="23">
        <v>44248625.600000001</v>
      </c>
    </row>
    <row r="15" spans="1:9" x14ac:dyDescent="0.35">
      <c r="A15" s="23" t="s">
        <v>49</v>
      </c>
      <c r="B15" s="23">
        <v>100670</v>
      </c>
      <c r="C15" s="23">
        <v>100370</v>
      </c>
      <c r="D15" s="23">
        <v>104760</v>
      </c>
      <c r="E15" s="23">
        <v>106170</v>
      </c>
      <c r="F15" s="23">
        <v>91824</v>
      </c>
      <c r="G15" s="23">
        <v>105870</v>
      </c>
      <c r="H15" s="23">
        <v>114810</v>
      </c>
      <c r="I15" s="23">
        <v>116750</v>
      </c>
    </row>
    <row r="16" spans="1:9" ht="24.5" x14ac:dyDescent="0.35">
      <c r="A16" s="23" t="s">
        <v>74</v>
      </c>
      <c r="B16" s="23">
        <f>B14/B15</f>
        <v>371.5468183172743</v>
      </c>
      <c r="C16" s="23">
        <f t="shared" ref="C16" si="23">C14/C15</f>
        <v>387.95161701703699</v>
      </c>
      <c r="D16" s="23">
        <f t="shared" ref="D16" si="24">D14/D15</f>
        <v>382.7464929362352</v>
      </c>
      <c r="E16" s="23">
        <f t="shared" ref="E16" si="25">E14/E15</f>
        <v>394.17659527173407</v>
      </c>
      <c r="F16" s="23">
        <f t="shared" ref="F16" si="26">F14/F15</f>
        <v>398.62729133995475</v>
      </c>
      <c r="G16" s="23">
        <f t="shared" ref="G16" si="27">G14/G15</f>
        <v>387.44568697459152</v>
      </c>
      <c r="H16" s="23">
        <f t="shared" ref="H16" si="28">H14/H15</f>
        <v>378.60877623900359</v>
      </c>
      <c r="I16" s="23">
        <f t="shared" ref="I16" si="29">I14/I15</f>
        <v>379.00321713062101</v>
      </c>
    </row>
  </sheetData>
  <hyperlinks>
    <hyperlink ref="A6" location="_ftn2" display="_ftn2" xr:uid="{20EF1FC5-294C-4FE7-9CE0-5275605517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FD30-1531-46F1-9993-C6DABDDABE42}">
  <dimension ref="A1:B8"/>
  <sheetViews>
    <sheetView workbookViewId="0">
      <selection activeCell="C31" sqref="C31"/>
    </sheetView>
  </sheetViews>
  <sheetFormatPr baseColWidth="10" defaultRowHeight="14.5" x14ac:dyDescent="0.35"/>
  <sheetData>
    <row r="1" spans="1:2" x14ac:dyDescent="0.35">
      <c r="A1" t="s">
        <v>0</v>
      </c>
      <c r="B1" t="s">
        <v>75</v>
      </c>
    </row>
    <row r="2" spans="1:2" x14ac:dyDescent="0.35">
      <c r="A2" t="s">
        <v>7</v>
      </c>
      <c r="B2">
        <v>52</v>
      </c>
    </row>
    <row r="3" spans="1:2" x14ac:dyDescent="0.35">
      <c r="A3" t="s">
        <v>8</v>
      </c>
      <c r="B3">
        <v>17</v>
      </c>
    </row>
    <row r="4" spans="1:2" x14ac:dyDescent="0.35">
      <c r="A4" t="s">
        <v>9</v>
      </c>
      <c r="B4">
        <v>13</v>
      </c>
    </row>
    <row r="5" spans="1:2" x14ac:dyDescent="0.35">
      <c r="A5" t="s">
        <v>76</v>
      </c>
      <c r="B5">
        <v>6</v>
      </c>
    </row>
    <row r="6" spans="1:2" x14ac:dyDescent="0.35">
      <c r="A6" t="s">
        <v>77</v>
      </c>
      <c r="B6">
        <v>1</v>
      </c>
    </row>
    <row r="7" spans="1:2" x14ac:dyDescent="0.35">
      <c r="A7" t="s">
        <v>78</v>
      </c>
      <c r="B7">
        <v>7</v>
      </c>
    </row>
    <row r="8" spans="1:2" x14ac:dyDescent="0.35">
      <c r="A8" t="s">
        <v>79</v>
      </c>
      <c r="B8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46BC-58CE-4A3A-BE9F-414D2168FC1F}">
  <dimension ref="A1:N12"/>
  <sheetViews>
    <sheetView topLeftCell="A5" workbookViewId="0">
      <selection sqref="A1:N1048576"/>
    </sheetView>
  </sheetViews>
  <sheetFormatPr baseColWidth="10" defaultRowHeight="14.5" x14ac:dyDescent="0.35"/>
  <sheetData>
    <row r="1" spans="1:14" ht="15" thickBot="1" x14ac:dyDescent="0.4">
      <c r="A1" s="12" t="s">
        <v>0</v>
      </c>
      <c r="B1" s="13">
        <v>2013</v>
      </c>
      <c r="C1" s="14">
        <v>2015</v>
      </c>
      <c r="D1" s="13">
        <v>2017</v>
      </c>
      <c r="E1" s="13">
        <v>2019</v>
      </c>
      <c r="F1" s="13">
        <v>2020</v>
      </c>
      <c r="G1" s="13">
        <v>2021</v>
      </c>
      <c r="H1" s="13">
        <v>2022</v>
      </c>
      <c r="I1" s="13">
        <v>2023</v>
      </c>
    </row>
    <row r="2" spans="1:14" ht="32" thickBot="1" x14ac:dyDescent="0.4">
      <c r="A2" s="12" t="s">
        <v>36</v>
      </c>
      <c r="B2" s="15">
        <v>7.26</v>
      </c>
      <c r="C2" s="15">
        <v>7.6</v>
      </c>
      <c r="D2" s="16">
        <v>8.5500000000000007</v>
      </c>
      <c r="E2" s="15">
        <v>8.1300000000000008</v>
      </c>
      <c r="F2" s="15">
        <v>8.19</v>
      </c>
      <c r="G2" s="15">
        <v>8.26</v>
      </c>
      <c r="H2" s="15">
        <v>8.4</v>
      </c>
      <c r="I2" s="15">
        <v>8.7799999999999994</v>
      </c>
    </row>
    <row r="3" spans="1:14" ht="32" thickBot="1" x14ac:dyDescent="0.4">
      <c r="A3" s="12" t="s">
        <v>37</v>
      </c>
      <c r="B3" s="15">
        <v>1.38</v>
      </c>
      <c r="C3" s="15">
        <v>1.36</v>
      </c>
      <c r="D3" s="16">
        <v>1.27</v>
      </c>
      <c r="E3" s="15">
        <v>1.29</v>
      </c>
      <c r="F3" s="15">
        <v>1.35</v>
      </c>
      <c r="G3" s="15">
        <v>1.28</v>
      </c>
      <c r="H3" s="15">
        <v>1.25</v>
      </c>
      <c r="I3" s="15">
        <v>1.19</v>
      </c>
    </row>
    <row r="4" spans="1:14" ht="32" thickBot="1" x14ac:dyDescent="0.4">
      <c r="A4" s="17" t="s">
        <v>38</v>
      </c>
      <c r="B4" s="15">
        <v>0.19</v>
      </c>
      <c r="C4" s="15">
        <v>0.18</v>
      </c>
      <c r="D4" s="16">
        <v>0.18</v>
      </c>
      <c r="E4" s="15">
        <v>0.18</v>
      </c>
      <c r="F4" s="15">
        <v>0.21</v>
      </c>
      <c r="G4" s="15">
        <v>0.19</v>
      </c>
      <c r="H4" s="15">
        <v>0.18</v>
      </c>
      <c r="I4" s="15">
        <v>0.19</v>
      </c>
    </row>
    <row r="5" spans="1:14" ht="32" thickBot="1" x14ac:dyDescent="0.4">
      <c r="L5" s="12" t="s">
        <v>36</v>
      </c>
      <c r="M5" s="12" t="s">
        <v>37</v>
      </c>
      <c r="N5" s="17" t="s">
        <v>38</v>
      </c>
    </row>
    <row r="6" spans="1:14" x14ac:dyDescent="0.35">
      <c r="K6" t="s">
        <v>39</v>
      </c>
      <c r="L6" s="18">
        <f>(C2-B2)/B2</f>
        <v>4.6831955922864994E-2</v>
      </c>
      <c r="M6" s="18">
        <f>(C3-B3)/B3</f>
        <v>-1.4492753623188259E-2</v>
      </c>
      <c r="N6" s="18">
        <f>(C4-B4)/B4</f>
        <v>-5.2631578947368467E-2</v>
      </c>
    </row>
    <row r="7" spans="1:14" x14ac:dyDescent="0.35">
      <c r="K7" t="s">
        <v>40</v>
      </c>
      <c r="L7" s="18">
        <f>(D2-C2)/C2</f>
        <v>0.12500000000000014</v>
      </c>
      <c r="M7" s="18">
        <f>(D3-C3)/C3</f>
        <v>-6.617647058823535E-2</v>
      </c>
      <c r="N7" s="18">
        <f>+(D4-C4)/C4</f>
        <v>0</v>
      </c>
    </row>
    <row r="8" spans="1:14" x14ac:dyDescent="0.35">
      <c r="K8" t="s">
        <v>41</v>
      </c>
      <c r="L8" s="18">
        <f>(E2-D2)/D2</f>
        <v>-4.9122807017543846E-2</v>
      </c>
      <c r="M8" s="18">
        <f>(E3-D3)/D3</f>
        <v>1.5748031496063006E-2</v>
      </c>
      <c r="N8" s="18">
        <f>(E4-D4)/D4</f>
        <v>0</v>
      </c>
    </row>
    <row r="9" spans="1:14" x14ac:dyDescent="0.35">
      <c r="K9" t="s">
        <v>42</v>
      </c>
      <c r="L9" s="18">
        <f>(F2-E2)/E2</f>
        <v>7.3800738007378493E-3</v>
      </c>
      <c r="M9" s="18">
        <f>(F3-E3)/E3</f>
        <v>4.6511627906976785E-2</v>
      </c>
      <c r="N9" s="18">
        <f>(F4-E4)/E4</f>
        <v>0.16666666666666666</v>
      </c>
    </row>
    <row r="10" spans="1:14" x14ac:dyDescent="0.35">
      <c r="K10" t="s">
        <v>43</v>
      </c>
      <c r="L10" s="18">
        <f>(G2-F2)/F2</f>
        <v>8.5470085470085826E-3</v>
      </c>
      <c r="M10" s="18">
        <f>+(G3-F3)/F3</f>
        <v>-5.1851851851851892E-2</v>
      </c>
      <c r="N10" s="18">
        <f>(G4-F4)/F4</f>
        <v>-9.5238095238095191E-2</v>
      </c>
    </row>
    <row r="11" spans="1:14" x14ac:dyDescent="0.35">
      <c r="K11" t="s">
        <v>44</v>
      </c>
      <c r="L11" s="18">
        <f>(H2-G2)/G2</f>
        <v>1.6949152542372951E-2</v>
      </c>
      <c r="M11" s="18">
        <f>(H3-G3)/G3</f>
        <v>-2.3437500000000021E-2</v>
      </c>
      <c r="N11" s="18">
        <f>(H4-G4)/G4</f>
        <v>-5.2631578947368467E-2</v>
      </c>
    </row>
    <row r="12" spans="1:14" x14ac:dyDescent="0.35">
      <c r="K12" t="s">
        <v>45</v>
      </c>
      <c r="L12" s="18">
        <f>(I2-H2)/H2</f>
        <v>4.5238095238095119E-2</v>
      </c>
      <c r="M12" s="18">
        <f>(I3-H3)/H3</f>
        <v>-4.8000000000000043E-2</v>
      </c>
      <c r="N12" s="18">
        <f>(I4-H4)/H4</f>
        <v>5.5555555555555608E-2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477E-32AD-47EE-B42A-5DCABF81D13B}">
  <dimension ref="A1:D8"/>
  <sheetViews>
    <sheetView workbookViewId="0">
      <selection activeCell="D22" sqref="D22"/>
    </sheetView>
  </sheetViews>
  <sheetFormatPr baseColWidth="10" defaultRowHeight="14.5" x14ac:dyDescent="0.35"/>
  <sheetData>
    <row r="1" spans="1:4" x14ac:dyDescent="0.35">
      <c r="A1" t="s">
        <v>80</v>
      </c>
      <c r="B1" t="s">
        <v>7</v>
      </c>
      <c r="C1" t="s">
        <v>81</v>
      </c>
      <c r="D1" t="s">
        <v>9</v>
      </c>
    </row>
    <row r="2" spans="1:4" x14ac:dyDescent="0.35">
      <c r="A2" t="s">
        <v>39</v>
      </c>
      <c r="B2">
        <v>4.5</v>
      </c>
      <c r="C2">
        <v>0</v>
      </c>
      <c r="D2">
        <v>-5.5</v>
      </c>
    </row>
    <row r="3" spans="1:4" x14ac:dyDescent="0.35">
      <c r="A3" t="s">
        <v>40</v>
      </c>
      <c r="B3">
        <v>12.3</v>
      </c>
      <c r="C3">
        <v>0</v>
      </c>
      <c r="D3">
        <v>0</v>
      </c>
    </row>
    <row r="4" spans="1:4" x14ac:dyDescent="0.35">
      <c r="A4" t="s">
        <v>41</v>
      </c>
      <c r="B4">
        <v>-5</v>
      </c>
      <c r="C4">
        <v>1.4</v>
      </c>
      <c r="D4">
        <v>0</v>
      </c>
    </row>
    <row r="5" spans="1:4" x14ac:dyDescent="0.35">
      <c r="A5" t="s">
        <v>42</v>
      </c>
      <c r="B5">
        <v>0.6</v>
      </c>
      <c r="C5">
        <v>4.5</v>
      </c>
      <c r="D5">
        <v>16.5</v>
      </c>
    </row>
    <row r="6" spans="1:4" x14ac:dyDescent="0.35">
      <c r="A6" t="s">
        <v>43</v>
      </c>
      <c r="B6">
        <v>0.8</v>
      </c>
      <c r="C6">
        <v>-3</v>
      </c>
      <c r="D6">
        <v>-9.5</v>
      </c>
    </row>
    <row r="7" spans="1:4" x14ac:dyDescent="0.35">
      <c r="A7" t="s">
        <v>44</v>
      </c>
      <c r="B7">
        <v>1.6</v>
      </c>
      <c r="C7">
        <v>-2.5</v>
      </c>
      <c r="D7">
        <v>-5.5</v>
      </c>
    </row>
    <row r="8" spans="1:4" x14ac:dyDescent="0.35">
      <c r="A8" t="s">
        <v>45</v>
      </c>
      <c r="B8">
        <v>4.4000000000000004</v>
      </c>
      <c r="C8">
        <v>-3.8</v>
      </c>
      <c r="D8">
        <v>5.5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218E-C631-4BC9-A839-700F672775D3}">
  <dimension ref="A1:J17"/>
  <sheetViews>
    <sheetView workbookViewId="0">
      <selection activeCell="D27" sqref="D27"/>
    </sheetView>
  </sheetViews>
  <sheetFormatPr baseColWidth="10" defaultRowHeight="14.5" x14ac:dyDescent="0.35"/>
  <cols>
    <col min="1" max="1" width="27" customWidth="1"/>
  </cols>
  <sheetData>
    <row r="1" spans="1:10" ht="15" thickBot="1" x14ac:dyDescent="0.4">
      <c r="B1" s="19" t="s">
        <v>46</v>
      </c>
      <c r="C1" s="19">
        <v>2013</v>
      </c>
      <c r="D1" s="22">
        <v>2015</v>
      </c>
      <c r="E1" s="19">
        <v>2017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</row>
    <row r="2" spans="1:10" x14ac:dyDescent="0.35">
      <c r="A2" s="20" t="s">
        <v>50</v>
      </c>
      <c r="B2" s="20" t="s">
        <v>48</v>
      </c>
      <c r="C2" s="21">
        <v>35128</v>
      </c>
      <c r="D2" s="21">
        <v>38931</v>
      </c>
      <c r="E2" s="21">
        <v>43939</v>
      </c>
      <c r="F2" s="21">
        <v>45157</v>
      </c>
      <c r="G2" s="21">
        <v>36910</v>
      </c>
      <c r="H2" s="21">
        <v>45932</v>
      </c>
      <c r="I2" s="21">
        <v>48401</v>
      </c>
      <c r="J2" s="21">
        <v>53009</v>
      </c>
    </row>
    <row r="3" spans="1:10" x14ac:dyDescent="0.35">
      <c r="A3" s="20" t="s">
        <v>52</v>
      </c>
      <c r="B3" s="20" t="s">
        <v>48</v>
      </c>
      <c r="C3" s="21">
        <v>16591</v>
      </c>
      <c r="D3" s="21">
        <v>17067</v>
      </c>
      <c r="E3" s="21">
        <v>16109</v>
      </c>
      <c r="F3" s="21">
        <v>16588</v>
      </c>
      <c r="G3" s="21">
        <v>15733</v>
      </c>
      <c r="H3" s="21">
        <v>17370</v>
      </c>
      <c r="I3" s="21">
        <v>18178</v>
      </c>
      <c r="J3" s="21">
        <v>16936</v>
      </c>
    </row>
    <row r="4" spans="1:10" x14ac:dyDescent="0.35">
      <c r="A4" s="20" t="s">
        <v>54</v>
      </c>
      <c r="B4" s="20" t="s">
        <v>48</v>
      </c>
      <c r="C4" s="21">
        <v>11442</v>
      </c>
      <c r="D4" s="21">
        <v>12123</v>
      </c>
      <c r="E4" s="21">
        <v>12174</v>
      </c>
      <c r="F4" s="21">
        <v>12686</v>
      </c>
      <c r="G4" s="21">
        <v>13003</v>
      </c>
      <c r="H4" s="21">
        <v>13003</v>
      </c>
      <c r="I4" s="21">
        <v>13087</v>
      </c>
      <c r="J4" s="21">
        <v>13821</v>
      </c>
    </row>
    <row r="5" spans="1:10" ht="36" x14ac:dyDescent="0.35">
      <c r="A5" s="20" t="s">
        <v>56</v>
      </c>
      <c r="B5" s="21" t="s">
        <v>48</v>
      </c>
      <c r="C5" s="21">
        <f>(C6-C2-C3-C4)</f>
        <v>23094</v>
      </c>
      <c r="D5" s="21">
        <f t="shared" ref="D5:J5" si="0">(D6-D2-D3-D4)</f>
        <v>21674</v>
      </c>
      <c r="E5" s="21">
        <f t="shared" si="0"/>
        <v>20243</v>
      </c>
      <c r="F5" s="21">
        <f t="shared" si="0"/>
        <v>22077</v>
      </c>
      <c r="G5" s="21">
        <f t="shared" si="0"/>
        <v>18764</v>
      </c>
      <c r="H5" s="21">
        <f t="shared" si="0"/>
        <v>18287</v>
      </c>
      <c r="I5" s="21">
        <f t="shared" si="0"/>
        <v>20574</v>
      </c>
      <c r="J5" s="21">
        <f t="shared" si="0"/>
        <v>18274</v>
      </c>
    </row>
    <row r="6" spans="1:10" x14ac:dyDescent="0.35">
      <c r="A6" s="20" t="s">
        <v>47</v>
      </c>
      <c r="B6" s="20" t="s">
        <v>48</v>
      </c>
      <c r="C6" s="21">
        <v>86255</v>
      </c>
      <c r="D6" s="21">
        <v>89795</v>
      </c>
      <c r="E6" s="21">
        <v>92465</v>
      </c>
      <c r="F6" s="21">
        <v>96508</v>
      </c>
      <c r="G6" s="21">
        <v>84410</v>
      </c>
      <c r="H6" s="21">
        <v>94592</v>
      </c>
      <c r="I6" s="21">
        <v>100240</v>
      </c>
      <c r="J6" s="21">
        <v>102040</v>
      </c>
    </row>
    <row r="9" spans="1:10" ht="29" customHeight="1" x14ac:dyDescent="0.35">
      <c r="A9" s="4" t="s">
        <v>57</v>
      </c>
      <c r="B9" t="s">
        <v>58</v>
      </c>
      <c r="C9">
        <v>5.86</v>
      </c>
      <c r="D9" t="s">
        <v>66</v>
      </c>
    </row>
    <row r="10" spans="1:10" x14ac:dyDescent="0.35">
      <c r="A10" s="4"/>
      <c r="B10" t="s">
        <v>59</v>
      </c>
      <c r="C10">
        <v>5.86</v>
      </c>
      <c r="D10" t="s">
        <v>67</v>
      </c>
    </row>
    <row r="11" spans="1:10" ht="29.5" thickBot="1" x14ac:dyDescent="0.4">
      <c r="A11" s="4" t="s">
        <v>60</v>
      </c>
      <c r="C11">
        <v>74</v>
      </c>
      <c r="D11" t="s">
        <v>68</v>
      </c>
    </row>
    <row r="12" spans="1:10" ht="15" thickBot="1" x14ac:dyDescent="0.4">
      <c r="A12" s="4"/>
      <c r="B12" s="19">
        <v>2013</v>
      </c>
      <c r="C12" s="22">
        <v>2015</v>
      </c>
      <c r="D12" s="19">
        <v>2017</v>
      </c>
      <c r="E12" s="19">
        <v>2019</v>
      </c>
      <c r="F12" s="19">
        <v>2020</v>
      </c>
      <c r="G12" s="19">
        <v>2021</v>
      </c>
      <c r="H12" s="19">
        <v>2022</v>
      </c>
      <c r="I12" s="19">
        <v>2023</v>
      </c>
    </row>
    <row r="13" spans="1:10" x14ac:dyDescent="0.35">
      <c r="A13" t="s">
        <v>61</v>
      </c>
      <c r="B13">
        <f t="shared" ref="B13:I13" si="1">$C$10*$C$11*C2</f>
        <v>15232905.920000002</v>
      </c>
      <c r="C13">
        <f t="shared" si="1"/>
        <v>16882038.84</v>
      </c>
      <c r="D13">
        <f t="shared" si="1"/>
        <v>19053707.960000001</v>
      </c>
      <c r="E13">
        <f t="shared" si="1"/>
        <v>19581881.48</v>
      </c>
      <c r="F13">
        <f t="shared" si="1"/>
        <v>16005652.400000002</v>
      </c>
      <c r="G13">
        <f t="shared" si="1"/>
        <v>19917952.48</v>
      </c>
      <c r="H13">
        <f t="shared" si="1"/>
        <v>20988609.640000001</v>
      </c>
      <c r="I13">
        <f t="shared" si="1"/>
        <v>22986822.760000002</v>
      </c>
    </row>
    <row r="14" spans="1:10" x14ac:dyDescent="0.35">
      <c r="A14" t="s">
        <v>62</v>
      </c>
      <c r="B14">
        <f t="shared" ref="B14:I14" si="2">$C$10*$C$11*C3</f>
        <v>7194521.2400000012</v>
      </c>
      <c r="C14">
        <f t="shared" si="2"/>
        <v>7400933.8800000008</v>
      </c>
      <c r="D14">
        <f t="shared" si="2"/>
        <v>6985506.7600000007</v>
      </c>
      <c r="E14">
        <f t="shared" si="2"/>
        <v>7193220.3200000003</v>
      </c>
      <c r="F14">
        <f t="shared" si="2"/>
        <v>6822458.120000001</v>
      </c>
      <c r="G14">
        <f t="shared" si="2"/>
        <v>7532326.8000000007</v>
      </c>
      <c r="H14">
        <f t="shared" si="2"/>
        <v>7882707.9200000009</v>
      </c>
      <c r="I14">
        <f t="shared" si="2"/>
        <v>7344127.040000001</v>
      </c>
    </row>
    <row r="15" spans="1:10" x14ac:dyDescent="0.35">
      <c r="A15" t="s">
        <v>63</v>
      </c>
      <c r="B15">
        <f t="shared" ref="B15:I15" si="3">$C$10*$C$11*C4</f>
        <v>4961708.8800000008</v>
      </c>
      <c r="C15">
        <f t="shared" si="3"/>
        <v>5257017.7200000007</v>
      </c>
      <c r="D15">
        <f t="shared" si="3"/>
        <v>5279133.3600000003</v>
      </c>
      <c r="E15">
        <f t="shared" si="3"/>
        <v>5501157.040000001</v>
      </c>
      <c r="F15">
        <f t="shared" si="3"/>
        <v>5638620.9200000009</v>
      </c>
      <c r="G15">
        <f t="shared" si="3"/>
        <v>5638620.9200000009</v>
      </c>
      <c r="H15">
        <f t="shared" si="3"/>
        <v>5675046.6800000006</v>
      </c>
      <c r="I15">
        <f t="shared" si="3"/>
        <v>5993338.4400000004</v>
      </c>
    </row>
    <row r="16" spans="1:10" x14ac:dyDescent="0.35">
      <c r="A16" t="s">
        <v>64</v>
      </c>
      <c r="B16">
        <f t="shared" ref="B16:I16" si="4">$C$10*$C$11*C5</f>
        <v>10014482.16</v>
      </c>
      <c r="C16">
        <f t="shared" si="4"/>
        <v>9398713.3600000013</v>
      </c>
      <c r="D16">
        <f t="shared" si="4"/>
        <v>8778174.5200000014</v>
      </c>
      <c r="E16">
        <f t="shared" si="4"/>
        <v>9573470.2800000012</v>
      </c>
      <c r="F16">
        <f t="shared" si="4"/>
        <v>8136820.9600000009</v>
      </c>
      <c r="G16">
        <f t="shared" si="4"/>
        <v>7929974.6800000006</v>
      </c>
      <c r="H16">
        <f t="shared" si="4"/>
        <v>8921709.3600000013</v>
      </c>
      <c r="I16">
        <f t="shared" si="4"/>
        <v>7924337.3600000003</v>
      </c>
    </row>
    <row r="17" spans="1:9" x14ac:dyDescent="0.35">
      <c r="A17" t="s">
        <v>65</v>
      </c>
      <c r="B17">
        <f t="shared" ref="B17:H17" si="5">$C$10*$C$11*C6</f>
        <v>37403618.200000003</v>
      </c>
      <c r="C17">
        <f t="shared" si="5"/>
        <v>38938703.800000004</v>
      </c>
      <c r="D17">
        <f t="shared" si="5"/>
        <v>40096522.600000001</v>
      </c>
      <c r="E17">
        <f t="shared" si="5"/>
        <v>41849729.120000005</v>
      </c>
      <c r="F17">
        <f t="shared" si="5"/>
        <v>36603552.400000006</v>
      </c>
      <c r="G17">
        <f t="shared" si="5"/>
        <v>41018874.880000003</v>
      </c>
      <c r="H17">
        <f t="shared" si="5"/>
        <v>43468073.600000001</v>
      </c>
      <c r="I17">
        <f>$C$10*$C$11*J6</f>
        <v>44248625.600000001</v>
      </c>
    </row>
  </sheetData>
  <hyperlinks>
    <hyperlink ref="A6" location="_ftn1" display="_ftn1" xr:uid="{E2445F38-57E5-4AF7-91E5-B092916004B9}"/>
    <hyperlink ref="A4" location="_ftn3" display="_ftn3" xr:uid="{946C4983-16DE-4D33-96A4-696921C31845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8A14-412E-4034-8E22-3BE399D70F4B}">
  <dimension ref="A1:B4"/>
  <sheetViews>
    <sheetView workbookViewId="0">
      <selection sqref="A1:XFD1048576"/>
    </sheetView>
  </sheetViews>
  <sheetFormatPr baseColWidth="10" defaultColWidth="23.36328125" defaultRowHeight="14.5" x14ac:dyDescent="0.35"/>
  <sheetData>
    <row r="1" spans="1:2" x14ac:dyDescent="0.35">
      <c r="A1" t="s">
        <v>82</v>
      </c>
      <c r="B1" t="s">
        <v>83</v>
      </c>
    </row>
    <row r="2" spans="1:2" x14ac:dyDescent="0.35">
      <c r="A2" t="s">
        <v>84</v>
      </c>
      <c r="B2">
        <v>-0.9</v>
      </c>
    </row>
    <row r="3" spans="1:2" x14ac:dyDescent="0.35">
      <c r="A3" t="s">
        <v>85</v>
      </c>
      <c r="B3">
        <v>0.2</v>
      </c>
    </row>
    <row r="4" spans="1:2" x14ac:dyDescent="0.35">
      <c r="A4" t="s">
        <v>86</v>
      </c>
      <c r="B4">
        <v>2.6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9597-FA12-4AB0-AC02-80869CFB7018}">
  <dimension ref="A1:E6"/>
  <sheetViews>
    <sheetView tabSelected="1" workbookViewId="0">
      <selection activeCell="D32" sqref="D32"/>
    </sheetView>
  </sheetViews>
  <sheetFormatPr baseColWidth="10" defaultRowHeight="14.5" x14ac:dyDescent="0.35"/>
  <cols>
    <col min="1" max="5" width="14.54296875" customWidth="1"/>
  </cols>
  <sheetData>
    <row r="1" spans="1:5" x14ac:dyDescent="0.3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35</v>
      </c>
    </row>
    <row r="2" spans="1:5" x14ac:dyDescent="0.35">
      <c r="A2" s="11" t="s">
        <v>33</v>
      </c>
      <c r="B2" s="11">
        <v>461022.27043802518</v>
      </c>
      <c r="C2" s="11">
        <v>-372133.12273877283</v>
      </c>
      <c r="D2" s="11">
        <v>1039783.366652043</v>
      </c>
      <c r="E2" s="11">
        <v>1128672.5143512951</v>
      </c>
    </row>
    <row r="3" spans="1:5" x14ac:dyDescent="0.35">
      <c r="A3" s="11" t="s">
        <v>8</v>
      </c>
      <c r="B3" s="11">
        <v>190661.70010965399</v>
      </c>
      <c r="C3" s="11">
        <v>4359.7587722969547</v>
      </c>
      <c r="D3" s="11">
        <v>258144.15105017059</v>
      </c>
      <c r="E3" s="11">
        <v>453165.60993212147</v>
      </c>
    </row>
    <row r="4" spans="1:5" x14ac:dyDescent="0.35">
      <c r="A4" s="11" t="s">
        <v>7</v>
      </c>
      <c r="B4" s="11">
        <v>-1218135.3710113261</v>
      </c>
      <c r="C4" s="11">
        <v>330071.52506703598</v>
      </c>
      <c r="D4" s="11">
        <v>660142.68949103612</v>
      </c>
      <c r="E4" s="11">
        <v>-227921.15645325431</v>
      </c>
    </row>
    <row r="5" spans="1:5" x14ac:dyDescent="0.35">
      <c r="A5" s="11" t="s">
        <v>9</v>
      </c>
      <c r="B5" s="11">
        <v>14267.711987948451</v>
      </c>
      <c r="C5" s="11">
        <v>31363.21163311007</v>
      </c>
      <c r="D5" s="11">
        <v>-6681.2695850367554</v>
      </c>
      <c r="E5" s="11">
        <v>38949.654036021762</v>
      </c>
    </row>
    <row r="6" spans="1:5" x14ac:dyDescent="0.35">
      <c r="A6" s="11" t="s">
        <v>34</v>
      </c>
      <c r="B6" s="11">
        <v>-361013.23302915931</v>
      </c>
      <c r="C6" s="11">
        <v>210667.75963341381</v>
      </c>
      <c r="D6" s="11">
        <v>629967.80127896299</v>
      </c>
      <c r="E6" s="11">
        <v>479622.32788321743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LSDI  SECTOR ELECTRICO </vt:lpstr>
      <vt:lpstr>LSDI  SECTOR EMISION</vt:lpstr>
      <vt:lpstr>Emisiones de carbono</vt:lpstr>
      <vt:lpstr>FIGURA 1</vt:lpstr>
      <vt:lpstr>FIGURA 2</vt:lpstr>
      <vt:lpstr>FIGURA 3</vt:lpstr>
      <vt:lpstr>FIGURA 4</vt:lpstr>
      <vt:lpstr>FIGURA 5</vt:lpstr>
      <vt:lpstr>FIGURA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</cp:lastModifiedBy>
  <dcterms:created xsi:type="dcterms:W3CDTF">2026-01-06T12:24:23Z</dcterms:created>
  <dcterms:modified xsi:type="dcterms:W3CDTF">2026-07-18T04:22:19Z</dcterms:modified>
</cp:coreProperties>
</file>